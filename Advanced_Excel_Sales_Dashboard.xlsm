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pivotCache/pivotCacheDefinition9.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2.xml" ContentType="application/vnd.ms-excel.slicer+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hemay\Downloads\"/>
    </mc:Choice>
  </mc:AlternateContent>
  <xr:revisionPtr revIDLastSave="0" documentId="13_ncr:1_{2339C22E-8DE5-4ED4-85D7-184F23CFD0A2}" xr6:coauthVersionLast="47" xr6:coauthVersionMax="47" xr10:uidLastSave="{00000000-0000-0000-0000-000000000000}"/>
  <bookViews>
    <workbookView xWindow="-120" yWindow="-120" windowWidth="20730" windowHeight="11040" firstSheet="5" activeTab="5" xr2:uid="{971D0686-46EB-4939-AB9B-5E85749EA32B}"/>
  </bookViews>
  <sheets>
    <sheet name="Sales" sheetId="6" r:id="rId1"/>
    <sheet name="Customers" sheetId="20" r:id="rId2"/>
    <sheet name="Products" sheetId="21" r:id="rId3"/>
    <sheet name="Regions" sheetId="22" r:id="rId4"/>
    <sheet name="Total Revenue" sheetId="9" r:id="rId5"/>
    <sheet name="Total Profit" sheetId="8" r:id="rId6"/>
    <sheet name="Profit Margin" sheetId="11" r:id="rId7"/>
    <sheet name="Order Count" sheetId="15" r:id="rId8"/>
    <sheet name="Average Order Value" sheetId="17" r:id="rId9"/>
    <sheet name="Growth" sheetId="12" r:id="rId10"/>
    <sheet name="Dashboard" sheetId="7" r:id="rId11"/>
  </sheets>
  <definedNames>
    <definedName name="ExternalData_1" localSheetId="1" hidden="1">'Customers'!$A$1:$G$11</definedName>
    <definedName name="ExternalData_2" localSheetId="2" hidden="1">Products!$A$1:$F$15</definedName>
    <definedName name="ExternalData_3" localSheetId="3" hidden="1">'Regions'!$A$1:$F$5</definedName>
    <definedName name="Slicer_Category1">#N/A</definedName>
    <definedName name="Slicer_City1">#N/A</definedName>
    <definedName name="Slicer_CustomerType1">#N/A</definedName>
    <definedName name="Timeline_OrderDate1">#N/A</definedName>
  </definedNames>
  <calcPr calcId="191029"/>
  <pivotCaches>
    <pivotCache cacheId="0" r:id="rId12"/>
    <pivotCache cacheId="1" r:id="rId13"/>
    <pivotCache cacheId="2" r:id="rId14"/>
    <pivotCache cacheId="3" r:id="rId15"/>
    <pivotCache cacheId="4" r:id="rId16"/>
    <pivotCache cacheId="5" r:id="rId17"/>
    <pivotCache cacheId="6" r:id="rId18"/>
  </pivotCaches>
  <extLst>
    <ext xmlns:x14="http://schemas.microsoft.com/office/spreadsheetml/2009/9/main" uri="{876F7934-8845-4945-9796-88D515C7AA90}">
      <x14:pivotCaches>
        <pivotCache cacheId="7" r:id="rId19"/>
      </x14:pivotCaches>
    </ex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8" r:id="rId23"/>
      </x15:timelineCachePivotCaches>
    </ext>
    <ext xmlns:x15="http://schemas.microsoft.com/office/spreadsheetml/2010/11/main" uri="{D0CA8CA8-9F24-4464-BF8E-62219DCF47F9}">
      <x15:timelineCacheRefs>
        <x15:timelineCacheRef r:id="rId2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_9630f41d-aba4-4543-9f2d-9a0cb20f9407" name="Sales" connection="Query - Sales"/>
          <x15:modelTable id="Customers_d0ea29de-52ac-40a7-bc08-a7dbc8ce60b4" name="Customers" connection="Query - Customers"/>
          <x15:modelTable id="Products_062eb5d1-f42c-4b77-957c-0b201404f4c1" name="Products" connection="Query - Products"/>
          <x15:modelTable id="Regions_c939547c-7c79-4b05-82a6-c23d36c4dd4d" name="Regions" connection="Query - Regions"/>
        </x15:modelTables>
        <x15:modelRelationships>
          <x15:modelRelationship fromTable="Sales" fromColumn="CustomerID" toTable="Customers" toColumn="CustomerID"/>
          <x15:modelRelationship fromTable="Sales" fromColumn="ProductID" toTable="Products" toColumn="ProductID"/>
          <x15:modelRelationship fromTable="Customers" fromColumn="RegionID" toTable="Regions" toColumn="RegionID"/>
        </x15:modelRelationships>
        <x15:extLst>
          <ext xmlns:x16="http://schemas.microsoft.com/office/spreadsheetml/2014/11/main" uri="{9835A34E-60A6-4A7C-AAB8-D5F71C897F49}">
            <x16:modelTimeGroupings>
              <x16:modelTimeGrouping tableName="Sales" columnName="OrderDate" columnId="OrderDate">
                <x16:calculatedTimeColumn columnName="OrderDate (Year)" columnId="OrderDate (Year)" contentType="years" isSelected="1"/>
                <x16:calculatedTimeColumn columnName="OrderDate (Quarter)" columnId="OrderDate (Quarter)" contentType="quarters" isSelected="1"/>
                <x16:calculatedTimeColumn columnName="OrderDate (Month Index)" columnId="OrderDate (Month Index)" contentType="monthsindex" isSelected="1"/>
                <x16:calculatedTimeColumn columnName="OrderDate (Month)" columnId="Order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 i="12" l="1"/>
  <c r="J3" i="7"/>
  <c r="H3" i="7"/>
  <c r="D5" i="12"/>
  <c r="F3" i="7"/>
  <c r="D3" i="7"/>
  <c r="B3" i="7"/>
  <c r="D7" i="12" l="1"/>
  <c r="E5" i="12"/>
  <c r="E6" i="12"/>
  <c r="E7" i="1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1D861B-C1C0-4210-B9B1-94776FEDFDBA}" keepAlive="1" name="ModelConnection_ExternalData_1" description="Data Model" type="5" refreshedVersion="8" minRefreshableVersion="5" saveData="1">
    <dbPr connection="Data Model Connection" command="Customers" commandType="3"/>
    <extLst>
      <ext xmlns:x15="http://schemas.microsoft.com/office/spreadsheetml/2010/11/main" uri="{DE250136-89BD-433C-8126-D09CA5730AF9}">
        <x15:connection id="" model="1"/>
      </ext>
    </extLst>
  </connection>
  <connection id="2" xr16:uid="{92CE1FC7-7BFC-4D2E-B742-2808CA47A34C}" keepAlive="1" name="ModelConnection_ExternalData_2" description="Data Model" type="5" refreshedVersion="8" minRefreshableVersion="5" saveData="1">
    <dbPr connection="Data Model Connection" command="Products" commandType="3"/>
    <extLst>
      <ext xmlns:x15="http://schemas.microsoft.com/office/spreadsheetml/2010/11/main" uri="{DE250136-89BD-433C-8126-D09CA5730AF9}">
        <x15:connection id="" model="1"/>
      </ext>
    </extLst>
  </connection>
  <connection id="3" xr16:uid="{178EBF4E-6BF3-4186-8588-A5CC060CD5EB}" keepAlive="1" name="ModelConnection_ExternalData_3" description="Data Model" type="5" refreshedVersion="8" minRefreshableVersion="5" saveData="1">
    <dbPr connection="Data Model Connection" command="Regions" commandType="3"/>
    <extLst>
      <ext xmlns:x15="http://schemas.microsoft.com/office/spreadsheetml/2010/11/main" uri="{DE250136-89BD-433C-8126-D09CA5730AF9}">
        <x15:connection id="" model="1"/>
      </ext>
    </extLst>
  </connection>
  <connection id="4" xr16:uid="{4C06A58C-6D20-4A7F-8461-373CCE528999}" name="Query - Customers" description="Connection to the 'Customers' query in the workbook." type="100" refreshedVersion="8" minRefreshableVersion="5">
    <extLst>
      <ext xmlns:x15="http://schemas.microsoft.com/office/spreadsheetml/2010/11/main" uri="{DE250136-89BD-433C-8126-D09CA5730AF9}">
        <x15:connection id="ff19990c-0640-4675-a1b3-e07f3be5840c"/>
      </ext>
    </extLst>
  </connection>
  <connection id="5" xr16:uid="{40AE3ED0-B1C4-4610-9BA2-9901D0D2EB4B}" name="Query - Products" description="Connection to the 'Products' query in the workbook." type="100" refreshedVersion="8" minRefreshableVersion="5">
    <extLst>
      <ext xmlns:x15="http://schemas.microsoft.com/office/spreadsheetml/2010/11/main" uri="{DE250136-89BD-433C-8126-D09CA5730AF9}">
        <x15:connection id="1835afd1-d4ca-43cf-b3ee-ec07b5b160a3"/>
      </ext>
    </extLst>
  </connection>
  <connection id="6" xr16:uid="{66F6CDA6-7F1C-45FA-8753-F95977B37BC0}" name="Query - Regions" description="Connection to the 'Regions' query in the workbook." type="100" refreshedVersion="8" minRefreshableVersion="5">
    <extLst>
      <ext xmlns:x15="http://schemas.microsoft.com/office/spreadsheetml/2010/11/main" uri="{DE250136-89BD-433C-8126-D09CA5730AF9}">
        <x15:connection id="15c57f02-c57e-4309-b13d-4e7a48e5bae3"/>
      </ext>
    </extLst>
  </connection>
  <connection id="7" xr16:uid="{DFC850A4-98E2-45C8-9601-7B4B94D61319}" name="Query - Sales" description="Connection to the 'Sales' query in the workbook." type="100" refreshedVersion="8" minRefreshableVersion="5">
    <extLst>
      <ext xmlns:x15="http://schemas.microsoft.com/office/spreadsheetml/2010/11/main" uri="{DE250136-89BD-433C-8126-D09CA5730AF9}">
        <x15:connection id="85d4be70-7be9-40e9-a886-a8a1e4384e63"/>
      </ext>
    </extLst>
  </connection>
  <connection id="8" xr16:uid="{A419D76C-EDCE-447D-8D18-C4EDFE026367}"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<sst xmlns="http://schemas.openxmlformats.org/spreadsheetml/2006/main" count="521" uniqueCount="167">
  <si>
    <t>RegionID</t>
  </si>
  <si>
    <t>Country</t>
  </si>
  <si>
    <t>State/Province</t>
  </si>
  <si>
    <t>City</t>
  </si>
  <si>
    <t>PostalCode</t>
  </si>
  <si>
    <t>SalesManager</t>
  </si>
  <si>
    <t>REG001</t>
  </si>
  <si>
    <t>United States</t>
  </si>
  <si>
    <t>California</t>
  </si>
  <si>
    <t>Los Angeles</t>
  </si>
  <si>
    <t>Alex Thompson</t>
  </si>
  <si>
    <t>REG002</t>
  </si>
  <si>
    <t>New York</t>
  </si>
  <si>
    <t>New York City</t>
  </si>
  <si>
    <t>Jessica Rivera</t>
  </si>
  <si>
    <t>REG003</t>
  </si>
  <si>
    <t>Canada</t>
  </si>
  <si>
    <t>Ontario</t>
  </si>
  <si>
    <t>Toronto</t>
  </si>
  <si>
    <t>M5V 2H1</t>
  </si>
  <si>
    <t>Daniel Nguyen</t>
  </si>
  <si>
    <t>REG004</t>
  </si>
  <si>
    <t>United Kingdom</t>
  </si>
  <si>
    <t>England</t>
  </si>
  <si>
    <t>London</t>
  </si>
  <si>
    <t>EC1A 1BB</t>
  </si>
  <si>
    <t>Olivia Patel</t>
  </si>
  <si>
    <t>CustomerID</t>
  </si>
  <si>
    <t>CustomerName</t>
  </si>
  <si>
    <t>Email</t>
  </si>
  <si>
    <t>Phone</t>
  </si>
  <si>
    <t>JoinDate</t>
  </si>
  <si>
    <t>CustomerType</t>
  </si>
  <si>
    <t>CUS001</t>
  </si>
  <si>
    <t>John Smith</t>
  </si>
  <si>
    <t>john.smith@email.com</t>
  </si>
  <si>
    <t>555-123-4567</t>
  </si>
  <si>
    <t>Regular</t>
  </si>
  <si>
    <t>CUS002</t>
  </si>
  <si>
    <t>Maria Garcia</t>
  </si>
  <si>
    <t>maria.g@email.com</t>
  </si>
  <si>
    <t>555-234-5678</t>
  </si>
  <si>
    <t>Premium</t>
  </si>
  <si>
    <t>CUS003</t>
  </si>
  <si>
    <t>Robert Chen</t>
  </si>
  <si>
    <t>robert.c@email.com</t>
  </si>
  <si>
    <t>555-345-6789</t>
  </si>
  <si>
    <t>CUS004</t>
  </si>
  <si>
    <t>Sarah Johnson</t>
  </si>
  <si>
    <t>sarah.j@email.com</t>
  </si>
  <si>
    <t>555-456-7890</t>
  </si>
  <si>
    <t>CUS005</t>
  </si>
  <si>
    <t>James Wilson</t>
  </si>
  <si>
    <t>james.w@email.com</t>
  </si>
  <si>
    <t>555-567-8901</t>
  </si>
  <si>
    <t>CUS006</t>
  </si>
  <si>
    <t>Linda Kim</t>
  </si>
  <si>
    <t>linda.k@email.com</t>
  </si>
  <si>
    <t>555-678-9012</t>
  </si>
  <si>
    <t>CUS007</t>
  </si>
  <si>
    <t>Michael Brown</t>
  </si>
  <si>
    <t>michael.b@email.com</t>
  </si>
  <si>
    <t>555-789-0123</t>
  </si>
  <si>
    <t>CUS008</t>
  </si>
  <si>
    <t>Emily Davis</t>
  </si>
  <si>
    <t>emily.d@email.com</t>
  </si>
  <si>
    <t>555-890-1234</t>
  </si>
  <si>
    <t>CUS009</t>
  </si>
  <si>
    <t>David Lee</t>
  </si>
  <si>
    <t>david.l@email.com</t>
  </si>
  <si>
    <t>555-901-2345</t>
  </si>
  <si>
    <t>CUS010</t>
  </si>
  <si>
    <t>Sophia Martin</t>
  </si>
  <si>
    <t>sophia.m@email.com</t>
  </si>
  <si>
    <t>555-012-3456</t>
  </si>
  <si>
    <t>OrderID</t>
  </si>
  <si>
    <t>ProductID</t>
  </si>
  <si>
    <t>Quantity</t>
  </si>
  <si>
    <t>UnitPrice</t>
  </si>
  <si>
    <t>PRD005</t>
  </si>
  <si>
    <t>PRD002</t>
  </si>
  <si>
    <t>PRD003</t>
  </si>
  <si>
    <t>PRD004</t>
  </si>
  <si>
    <t>PRD007</t>
  </si>
  <si>
    <t>PRD008</t>
  </si>
  <si>
    <t>PRD006</t>
  </si>
  <si>
    <t>PRD011</t>
  </si>
  <si>
    <t>PRD009</t>
  </si>
  <si>
    <t>PRD012</t>
  </si>
  <si>
    <t>PRD001</t>
  </si>
  <si>
    <t>PRD013</t>
  </si>
  <si>
    <t>PRD010</t>
  </si>
  <si>
    <t>ProductName</t>
  </si>
  <si>
    <t>Category</t>
  </si>
  <si>
    <t>Supplier</t>
  </si>
  <si>
    <t>UnitCost</t>
  </si>
  <si>
    <t>ListPrice</t>
  </si>
  <si>
    <t>Foundation</t>
  </si>
  <si>
    <t>Beauty</t>
  </si>
  <si>
    <t>Glow Labs</t>
  </si>
  <si>
    <t>Cookware Set</t>
  </si>
  <si>
    <t>Home &amp; Kitchen</t>
  </si>
  <si>
    <t>HomeCraft</t>
  </si>
  <si>
    <t>Vacuum Cleaner</t>
  </si>
  <si>
    <t>CleanTech</t>
  </si>
  <si>
    <t>SweepMaster</t>
  </si>
  <si>
    <t>Lipstick</t>
  </si>
  <si>
    <t>Blender</t>
  </si>
  <si>
    <t>KitchenPro</t>
  </si>
  <si>
    <t>Action Figure</t>
  </si>
  <si>
    <t>Toys</t>
  </si>
  <si>
    <t>PlayWorks</t>
  </si>
  <si>
    <t>Jeans</t>
  </si>
  <si>
    <t>Clothing</t>
  </si>
  <si>
    <t>FashionFirst</t>
  </si>
  <si>
    <t>T-Shirt</t>
  </si>
  <si>
    <t>Headphones</t>
  </si>
  <si>
    <t>Electronics</t>
  </si>
  <si>
    <t>AudioTech</t>
  </si>
  <si>
    <t>Fiction</t>
  </si>
  <si>
    <t>Books</t>
  </si>
  <si>
    <t>ReadMore</t>
  </si>
  <si>
    <t>Board Game</t>
  </si>
  <si>
    <t>Smartphone</t>
  </si>
  <si>
    <t>TechGiant</t>
  </si>
  <si>
    <t>PRD014</t>
  </si>
  <si>
    <t>Perfume</t>
  </si>
  <si>
    <t>FragranceInc</t>
  </si>
  <si>
    <t>OrderDate</t>
  </si>
  <si>
    <t>DiscountRate</t>
  </si>
  <si>
    <t>NetAmount</t>
  </si>
  <si>
    <t>Row Labels</t>
  </si>
  <si>
    <t>Grand Total</t>
  </si>
  <si>
    <t>2024</t>
  </si>
  <si>
    <t>Total Revenue</t>
  </si>
  <si>
    <t>Total Profit</t>
  </si>
  <si>
    <t>Profit Margin</t>
  </si>
  <si>
    <t>Sales Dashboard</t>
  </si>
  <si>
    <t>Total Revenue:</t>
  </si>
  <si>
    <t>Total Profit:</t>
  </si>
  <si>
    <t>Profit Margin:</t>
  </si>
  <si>
    <t>YTD Revenue</t>
  </si>
  <si>
    <t>YOY Growth</t>
  </si>
  <si>
    <t>YOY Growth %</t>
  </si>
  <si>
    <t>N/A</t>
  </si>
  <si>
    <t>Total Orders</t>
  </si>
  <si>
    <t>Average Order Value</t>
  </si>
  <si>
    <t>Feb</t>
  </si>
  <si>
    <t>Mar</t>
  </si>
  <si>
    <t>May</t>
  </si>
  <si>
    <t>Jun</t>
  </si>
  <si>
    <t>Aug</t>
  </si>
  <si>
    <t>Sep</t>
  </si>
  <si>
    <t>Oct</t>
  </si>
  <si>
    <t>2022</t>
  </si>
  <si>
    <t>2023</t>
  </si>
  <si>
    <t>SalesAmount</t>
  </si>
  <si>
    <t>90001</t>
  </si>
  <si>
    <t>10001</t>
  </si>
  <si>
    <t/>
  </si>
  <si>
    <t>Nov</t>
  </si>
  <si>
    <t>Dec</t>
  </si>
  <si>
    <t>Jan</t>
  </si>
  <si>
    <t>Apr</t>
  </si>
  <si>
    <t>Jul</t>
  </si>
  <si>
    <t>Average Order Value:</t>
  </si>
  <si>
    <t>Total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</si>
</sst>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
    <numFmt numFmtId="165" formatCode="&quot;$&quot;#,##0.00"/>
  </numFmts>
  <fonts count="6" x14ac:knownFonts="1">
    <font>
      <sz val="11"/>
      <color theme="1"/>
      <name val="Aptos Narrow"/>
      <family val="2"/>
      <scheme val="minor"/>
    </font>
    <font>
      <b/>
      <sz val="11"/>
      <color theme="1"/>
      <name val="Aptos Narrow"/>
      <family val="2"/>
      <scheme val="minor"/>
    </font>
    <font>
      <sz val="11"/>
      <color theme="1"/>
      <name val="Aptos Narrow"/>
      <family val="2"/>
      <scheme val="minor"/>
    </font>
    <font>
      <b/>
      <sz val="14"/>
      <color theme="0"/>
      <name val="Aptos Narrow"/>
      <family val="2"/>
      <scheme val="minor"/>
    </font>
    <font>
      <b/>
      <sz val="14"/>
      <color theme="1"/>
      <name val="Aptos Narrow"/>
      <family val="2"/>
      <scheme val="minor"/>
    </font>
    <font>
      <sz val="11"/>
      <color rgb="FF000000"/>
      <name val="Aptos Narrow"/>
      <family val="2"/>
    </font>
  </fonts>
  <fills count="5">
    <fill>
      <patternFill patternType="none"/>
    </fill>
    <fill>
      <patternFill patternType="gray125"/>
    </fill>
    <fill>
      <patternFill patternType="solid">
        <fgColor theme="9" tint="-0.249977111117893"/>
        <bgColor indexed="64"/>
      </patternFill>
    </fill>
    <fill>
      <patternFill patternType="solid">
        <fgColor theme="0"/>
        <bgColor indexed="64"/>
      </patternFill>
    </fill>
    <fill>
      <patternFill patternType="solid">
        <fgColor theme="9" tint="-0.499984740745262"/>
        <bgColor indexed="64"/>
      </patternFill>
    </fill>
  </fills>
  <borders count="1">
    <border>
      <left/>
      <right/>
      <top/>
      <bottom/>
      <diagonal/>
    </border>
  </borders>
  <cellStyleXfs count="2">
    <xf numFmtId="0" fontId="0" fillId="0" borderId="0"/>
    <xf numFmtId="9" fontId="2" fillId="0" borderId="0" applyFont="0" applyFill="0" applyBorder="0" applyAlignment="0" applyProtection="0"/>
  </cellStyleXfs>
  <cellXfs count="19">
    <xf numFmtId="0" fontId="0" fillId="0" borderId="0" xfId="0"/>
    <xf numFmtId="14" fontId="0" fillId="0" borderId="0" xfId="0" applyNumberFormat="1"/>
    <xf numFmtId="0" fontId="1" fillId="0" borderId="0" xfId="0" applyFon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0" fontId="3" fillId="2" borderId="0" xfId="0" applyFont="1" applyFill="1"/>
    <xf numFmtId="0" fontId="3" fillId="3" borderId="0" xfId="0" applyFont="1" applyFill="1" applyAlignment="1">
      <alignment horizontal="center"/>
    </xf>
    <xf numFmtId="9" fontId="0" fillId="0" borderId="0" xfId="0" applyNumberFormat="1"/>
    <xf numFmtId="10" fontId="0" fillId="0" borderId="0" xfId="1" applyNumberFormat="1" applyFont="1"/>
    <xf numFmtId="0" fontId="0" fillId="0" borderId="0" xfId="0" applyAlignment="1">
      <alignment horizontal="left" indent="1"/>
    </xf>
    <xf numFmtId="0" fontId="0" fillId="0" borderId="0" xfId="0" applyAlignment="1">
      <alignment horizontal="left" indent="2"/>
    </xf>
    <xf numFmtId="0" fontId="3" fillId="4" borderId="0" xfId="0" applyFont="1" applyFill="1"/>
    <xf numFmtId="0" fontId="1" fillId="0" borderId="0" xfId="0" applyFont="1" applyAlignment="1">
      <alignment horizontal="center"/>
    </xf>
    <xf numFmtId="0" fontId="3" fillId="4" borderId="0" xfId="0" applyFont="1" applyFill="1" applyAlignment="1">
      <alignment horizontal="center"/>
    </xf>
    <xf numFmtId="165" fontId="4" fillId="0" borderId="0" xfId="0" applyNumberFormat="1" applyFont="1" applyAlignment="1">
      <alignment horizontal="center"/>
    </xf>
    <xf numFmtId="9" fontId="4" fillId="0" borderId="0" xfId="1" applyFont="1" applyAlignment="1">
      <alignment horizontal="center" vertical="top"/>
    </xf>
    <xf numFmtId="2" fontId="4" fillId="0" borderId="0" xfId="0" applyNumberFormat="1" applyFont="1" applyAlignment="1">
      <alignment horizontal="center"/>
    </xf>
  </cellXfs>
  <cellStyles count="2">
    <cellStyle name="Normal" xfId="0" builtinId="0"/>
    <cellStyle name="Percent" xfId="1" builtinId="5"/>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font>
        <b/>
        <i val="0"/>
        <strike val="0"/>
        <condense val="0"/>
        <extend val="0"/>
        <outline val="0"/>
        <shadow val="0"/>
        <u val="none"/>
        <vertAlign val="baseline"/>
        <sz val="11"/>
        <color theme="1"/>
        <name val="Aptos Narrow"/>
        <family val="2"/>
        <scheme val="minor"/>
      </font>
    </dxf>
    <dxf>
      <font>
        <b/>
        <sz val="14"/>
        <color theme="0"/>
      </font>
      <fill>
        <patternFill patternType="solid">
          <fgColor indexed="64"/>
          <bgColor theme="9" tint="-0.249977111117893"/>
        </patternFill>
      </fill>
    </dxf>
    <dxf>
      <font>
        <b/>
        <sz val="14"/>
        <color theme="0"/>
      </font>
      <fill>
        <patternFill patternType="solid">
          <fgColor indexed="64"/>
          <bgColor theme="9" tint="-0.24997711111789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onnections" Target="connections.xml"/><Relationship Id="rId21" Type="http://schemas.microsoft.com/office/2007/relationships/slicerCache" Target="slicerCaches/slicerCache2.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55" Type="http://schemas.openxmlformats.org/officeDocument/2006/relationships/customXml" Target="../customXml/item25.xml"/><Relationship Id="rId63" Type="http://schemas.openxmlformats.org/officeDocument/2006/relationships/customXml" Target="../customXml/item3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powerPivotData" Target="model/item.data"/><Relationship Id="rId11" Type="http://schemas.openxmlformats.org/officeDocument/2006/relationships/worksheet" Target="worksheets/sheet11.xml"/><Relationship Id="rId24" Type="http://schemas.microsoft.com/office/2011/relationships/timelineCache" Target="timelineCaches/timelineCache1.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31.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22" Type="http://schemas.microsoft.com/office/2007/relationships/slicerCache" Target="slicerCaches/slicerCache3.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64"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20" Type="http://schemas.microsoft.com/office/2007/relationships/slicerCache" Target="slicerCaches/slicerCache1.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9.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worksheet" Target="worksheets/sheet10.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openxmlformats.org/officeDocument/2006/relationships/customXml" Target="../customXml/item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 Excel Dashboards; Power Query, Power Pivot, and VBA.xlsm]Total Revenue!PivotTable2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Revenue'!$C$3</c:f>
              <c:strCache>
                <c:ptCount val="1"/>
                <c:pt idx="0">
                  <c:v>Total</c:v>
                </c:pt>
              </c:strCache>
            </c:strRef>
          </c:tx>
          <c:spPr>
            <a:solidFill>
              <a:schemeClr val="accent1"/>
            </a:solidFill>
            <a:ln>
              <a:noFill/>
            </a:ln>
            <a:effectLst/>
          </c:spPr>
          <c:invertIfNegative val="0"/>
          <c:cat>
            <c:strRef>
              <c:f>'Total Revenue'!$B$4:$B$16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'Total Revenue'!$C$4:$C$16</c:f>
              <c:numCache>
                <c:formatCode>0.00</c:formatCode>
                <c:ptCount val="12"/>
                <c:pt idx="0">
                  <c:v>9163.8089999999993</c:v>
                </c:pt>
                <c:pt idx="1">
                  <c:v>8061.0880000000006</c:v>
                </c:pt>
                <c:pt idx="2">
                  <c:v>8549.0024999999987</c:v>
                </c:pt>
                <c:pt idx="3">
                  <c:v>12629.074000000001</c:v>
                </c:pt>
                <c:pt idx="4">
                  <c:v>17809.206999999999</c:v>
                </c:pt>
                <c:pt idx="5">
                  <c:v>6693.9674999999997</c:v>
                </c:pt>
                <c:pt idx="6">
                  <c:v>15003.929</c:v>
                </c:pt>
                <c:pt idx="7">
                  <c:v>8364.6924999999992</c:v>
                </c:pt>
                <c:pt idx="8">
                  <c:v>6456.6770000000006</c:v>
                </c:pt>
                <c:pt idx="9">
                  <c:v>12313.871499999999</c:v>
                </c:pt>
                <c:pt idx="10">
                  <c:v>12538.598</c:v>
                </c:pt>
                <c:pt idx="11">
                  <c:v>5660.5334999999995</c:v>
                </c:pt>
              </c:numCache>
            </c:numRef>
          </c:val>
          <c:extLst>
            <c:ext xmlns:c16="http://schemas.microsoft.com/office/drawing/2014/chart" uri="{C3380CC4-5D6E-409C-BE32-E72D297353CC}">
              <c16:uniqueId val="{00000004-7C29-457C-BCE5-AFFC28CB7A92}"/>
            </c:ext>
          </c:extLst>
        </c:ser>
        <c:dLbls>
          <c:showLegendKey val="0"/>
          <c:showVal val="0"/>
          <c:showCatName val="0"/>
          <c:showSerName val="0"/>
          <c:showPercent val="0"/>
          <c:showBubbleSize val="0"/>
        </c:dLbls>
        <c:gapWidth val="219"/>
        <c:overlap val="-27"/>
        <c:axId val="1922869631"/>
        <c:axId val="1922867711"/>
      </c:barChart>
      <c:catAx>
        <c:axId val="1922869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2867711"/>
        <c:crosses val="autoZero"/>
        <c:auto val="1"/>
        <c:lblAlgn val="ctr"/>
        <c:lblOffset val="100"/>
        <c:noMultiLvlLbl val="0"/>
      </c:catAx>
      <c:valAx>
        <c:axId val="192286771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28696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 Excel Dashboards; Power Query, Power Pivot, and VBA.xlsm]Total Profit!PivotTable1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'Total Profit'!$C$3</c:f>
              <c:strCache>
                <c:ptCount val="1"/>
                <c:pt idx="0">
                  <c:v>Total</c:v>
                </c:pt>
              </c:strCache>
            </c:strRef>
          </c:tx>
          <c:spPr>
            <a:solidFill>
              <a:schemeClr val="accent1"/>
            </a:solidFill>
            <a:ln>
              <a:noFill/>
            </a:ln>
            <a:effectLst/>
          </c:spPr>
          <c:invertIfNegative val="0"/>
          <c:cat>
            <c:strRef>
              <c:f>'Total Profit'!$B$4:$B$14</c:f>
              <c:strCache>
                <c:ptCount val="10"/>
                <c:pt idx="0">
                  <c:v>Jeans</c:v>
                </c:pt>
                <c:pt idx="1">
                  <c:v>Vacuum Cleaner</c:v>
                </c:pt>
                <c:pt idx="2">
                  <c:v>Action Figure</c:v>
                </c:pt>
                <c:pt idx="3">
                  <c:v>Blender</c:v>
                </c:pt>
                <c:pt idx="4">
                  <c:v>Smartphone</c:v>
                </c:pt>
                <c:pt idx="5">
                  <c:v>Lipstick</c:v>
                </c:pt>
                <c:pt idx="6">
                  <c:v>Headphones</c:v>
                </c:pt>
                <c:pt idx="7">
                  <c:v>Cookware Set</c:v>
                </c:pt>
                <c:pt idx="8">
                  <c:v>T-Shirt</c:v>
                </c:pt>
                <c:pt idx="9">
                  <c:v>Fiction</c:v>
                </c:pt>
              </c:strCache>
            </c:strRef>
          </c:cat>
          <c:val>
            <c:numRef>
              <c:f>'Total Profit'!$C$4:$C$14</c:f>
              <c:numCache>
                <c:formatCode>0.00</c:formatCode>
                <c:ptCount val="10"/>
                <c:pt idx="0">
                  <c:v>18382</c:v>
                </c:pt>
                <c:pt idx="1">
                  <c:v>18368.012000000002</c:v>
                </c:pt>
                <c:pt idx="2">
                  <c:v>14041.210999999999</c:v>
                </c:pt>
                <c:pt idx="3">
                  <c:v>12599.803999999998</c:v>
                </c:pt>
                <c:pt idx="4">
                  <c:v>11560.206</c:v>
                </c:pt>
                <c:pt idx="5">
                  <c:v>9356.5625</c:v>
                </c:pt>
                <c:pt idx="6">
                  <c:v>7970.7510000000002</c:v>
                </c:pt>
                <c:pt idx="7">
                  <c:v>6255.1459999999997</c:v>
                </c:pt>
                <c:pt idx="8">
                  <c:v>5724.9504999999999</c:v>
                </c:pt>
                <c:pt idx="9">
                  <c:v>5098.9850000000006</c:v>
                </c:pt>
              </c:numCache>
            </c:numRef>
          </c:val>
          <c:extLst>
            <c:ext xmlns:c16="http://schemas.microsoft.com/office/drawing/2014/chart" uri="{C3380CC4-5D6E-409C-BE32-E72D297353CC}">
              <c16:uniqueId val="{00000004-E20D-4A19-A1C0-2B04E8558521}"/>
            </c:ext>
          </c:extLst>
        </c:ser>
        <c:dLbls>
          <c:showLegendKey val="0"/>
          <c:showVal val="0"/>
          <c:showCatName val="0"/>
          <c:showSerName val="0"/>
          <c:showPercent val="0"/>
          <c:showBubbleSize val="0"/>
        </c:dLbls>
        <c:gapWidth val="182"/>
        <c:axId val="1922899871"/>
        <c:axId val="1922900351"/>
      </c:barChart>
      <c:catAx>
        <c:axId val="19228998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2900351"/>
        <c:crosses val="autoZero"/>
        <c:auto val="1"/>
        <c:lblAlgn val="ctr"/>
        <c:lblOffset val="100"/>
        <c:noMultiLvlLbl val="0"/>
      </c:catAx>
      <c:valAx>
        <c:axId val="192290035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28998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 Excel Dashboards; Power Query, Power Pivot, and VBA.xlsm]Profit Margin!PivotTable3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Margin'!$C$3</c:f>
              <c:strCache>
                <c:ptCount val="1"/>
                <c:pt idx="0">
                  <c:v>Total Revenue</c:v>
                </c:pt>
              </c:strCache>
            </c:strRef>
          </c:tx>
          <c:spPr>
            <a:solidFill>
              <a:schemeClr val="accent1"/>
            </a:solidFill>
            <a:ln>
              <a:noFill/>
            </a:ln>
            <a:effectLst/>
          </c:spPr>
          <c:invertIfNegative val="0"/>
          <c:cat>
            <c:strRef>
              <c:f>'Profit Margin'!$B$4:$B$10</c:f>
              <c:strCache>
                <c:ptCount val="6"/>
                <c:pt idx="0">
                  <c:v>Beauty</c:v>
                </c:pt>
                <c:pt idx="1">
                  <c:v>Books</c:v>
                </c:pt>
                <c:pt idx="2">
                  <c:v>Clothing</c:v>
                </c:pt>
                <c:pt idx="3">
                  <c:v>Electronics</c:v>
                </c:pt>
                <c:pt idx="4">
                  <c:v>Home &amp; Kitchen</c:v>
                </c:pt>
                <c:pt idx="5">
                  <c:v>Toys</c:v>
                </c:pt>
              </c:strCache>
            </c:strRef>
          </c:cat>
          <c:val>
            <c:numRef>
              <c:f>'Profit Margin'!$C$4:$C$10</c:f>
              <c:numCache>
                <c:formatCode>0.00</c:formatCode>
                <c:ptCount val="6"/>
                <c:pt idx="0">
                  <c:v>18276.972500000003</c:v>
                </c:pt>
                <c:pt idx="1">
                  <c:v>5098.9850000000006</c:v>
                </c:pt>
                <c:pt idx="2">
                  <c:v>24106.950499999999</c:v>
                </c:pt>
                <c:pt idx="3">
                  <c:v>19530.956999999999</c:v>
                </c:pt>
                <c:pt idx="4">
                  <c:v>37222.962000000007</c:v>
                </c:pt>
                <c:pt idx="5">
                  <c:v>19007.622499999998</c:v>
                </c:pt>
              </c:numCache>
            </c:numRef>
          </c:val>
          <c:extLst>
            <c:ext xmlns:c16="http://schemas.microsoft.com/office/drawing/2014/chart" uri="{C3380CC4-5D6E-409C-BE32-E72D297353CC}">
              <c16:uniqueId val="{0000000A-AAE8-45D7-BBBE-0904CB369FD4}"/>
            </c:ext>
          </c:extLst>
        </c:ser>
        <c:ser>
          <c:idx val="1"/>
          <c:order val="1"/>
          <c:tx>
            <c:strRef>
              <c:f>'Profit Margin'!$D$3</c:f>
              <c:strCache>
                <c:ptCount val="1"/>
                <c:pt idx="0">
                  <c:v>Total Profit</c:v>
                </c:pt>
              </c:strCache>
            </c:strRef>
          </c:tx>
          <c:spPr>
            <a:solidFill>
              <a:schemeClr val="accent2"/>
            </a:solidFill>
            <a:ln>
              <a:noFill/>
            </a:ln>
            <a:effectLst/>
          </c:spPr>
          <c:invertIfNegative val="0"/>
          <c:cat>
            <c:strRef>
              <c:f>'Profit Margin'!$B$4:$B$10</c:f>
              <c:strCache>
                <c:ptCount val="6"/>
                <c:pt idx="0">
                  <c:v>Beauty</c:v>
                </c:pt>
                <c:pt idx="1">
                  <c:v>Books</c:v>
                </c:pt>
                <c:pt idx="2">
                  <c:v>Clothing</c:v>
                </c:pt>
                <c:pt idx="3">
                  <c:v>Electronics</c:v>
                </c:pt>
                <c:pt idx="4">
                  <c:v>Home &amp; Kitchen</c:v>
                </c:pt>
                <c:pt idx="5">
                  <c:v>Toys</c:v>
                </c:pt>
              </c:strCache>
            </c:strRef>
          </c:cat>
          <c:val>
            <c:numRef>
              <c:f>'Profit Margin'!$D$4:$D$10</c:f>
              <c:numCache>
                <c:formatCode>0.00</c:formatCode>
                <c:ptCount val="6"/>
                <c:pt idx="0">
                  <c:v>6892.3224999999993</c:v>
                </c:pt>
                <c:pt idx="1">
                  <c:v>1962.9350000000006</c:v>
                </c:pt>
                <c:pt idx="2">
                  <c:v>9000.570499999998</c:v>
                </c:pt>
                <c:pt idx="3">
                  <c:v>7243.9569999999994</c:v>
                </c:pt>
                <c:pt idx="4">
                  <c:v>14190.602000000003</c:v>
                </c:pt>
                <c:pt idx="5">
                  <c:v>7285.7824999999993</c:v>
                </c:pt>
              </c:numCache>
            </c:numRef>
          </c:val>
          <c:extLst>
            <c:ext xmlns:c16="http://schemas.microsoft.com/office/drawing/2014/chart" uri="{C3380CC4-5D6E-409C-BE32-E72D297353CC}">
              <c16:uniqueId val="{0000000B-AAE8-45D7-BBBE-0904CB369FD4}"/>
            </c:ext>
          </c:extLst>
        </c:ser>
        <c:ser>
          <c:idx val="2"/>
          <c:order val="2"/>
          <c:tx>
            <c:strRef>
              <c:f>'Profit Margin'!$E$3</c:f>
              <c:strCache>
                <c:ptCount val="1"/>
                <c:pt idx="0">
                  <c:v>Profit Margin</c:v>
                </c:pt>
              </c:strCache>
            </c:strRef>
          </c:tx>
          <c:spPr>
            <a:solidFill>
              <a:schemeClr val="accent3"/>
            </a:solidFill>
            <a:ln>
              <a:noFill/>
            </a:ln>
            <a:effectLst/>
          </c:spPr>
          <c:invertIfNegative val="0"/>
          <c:cat>
            <c:strRef>
              <c:f>'Profit Margin'!$B$4:$B$10</c:f>
              <c:strCache>
                <c:ptCount val="6"/>
                <c:pt idx="0">
                  <c:v>Beauty</c:v>
                </c:pt>
                <c:pt idx="1">
                  <c:v>Books</c:v>
                </c:pt>
                <c:pt idx="2">
                  <c:v>Clothing</c:v>
                </c:pt>
                <c:pt idx="3">
                  <c:v>Electronics</c:v>
                </c:pt>
                <c:pt idx="4">
                  <c:v>Home &amp; Kitchen</c:v>
                </c:pt>
                <c:pt idx="5">
                  <c:v>Toys</c:v>
                </c:pt>
              </c:strCache>
            </c:strRef>
          </c:cat>
          <c:val>
            <c:numRef>
              <c:f>'Profit Margin'!$E$4:$E$10</c:f>
              <c:numCache>
                <c:formatCode>0.00%;\-0.00%;0.00%</c:formatCode>
                <c:ptCount val="6"/>
                <c:pt idx="0">
                  <c:v>0.37710416755291382</c:v>
                </c:pt>
                <c:pt idx="1">
                  <c:v>0.38496583143507979</c:v>
                </c:pt>
                <c:pt idx="2">
                  <c:v>0.37335997765457718</c:v>
                </c:pt>
                <c:pt idx="3">
                  <c:v>0.37089616243587037</c:v>
                </c:pt>
                <c:pt idx="4">
                  <c:v>0.38123247687811623</c:v>
                </c:pt>
                <c:pt idx="5">
                  <c:v>0.38330845954037651</c:v>
                </c:pt>
              </c:numCache>
            </c:numRef>
          </c:val>
          <c:extLst>
            <c:ext xmlns:c16="http://schemas.microsoft.com/office/drawing/2014/chart" uri="{C3380CC4-5D6E-409C-BE32-E72D297353CC}">
              <c16:uniqueId val="{0000000C-AAE8-45D7-BBBE-0904CB369FD4}"/>
            </c:ext>
          </c:extLst>
        </c:ser>
        <c:dLbls>
          <c:showLegendKey val="0"/>
          <c:showVal val="0"/>
          <c:showCatName val="0"/>
          <c:showSerName val="0"/>
          <c:showPercent val="0"/>
          <c:showBubbleSize val="0"/>
        </c:dLbls>
        <c:gapWidth val="219"/>
        <c:overlap val="-27"/>
        <c:axId val="1922903711"/>
        <c:axId val="1922903231"/>
      </c:barChart>
      <c:catAx>
        <c:axId val="1922903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2903231"/>
        <c:crosses val="autoZero"/>
        <c:auto val="1"/>
        <c:lblAlgn val="ctr"/>
        <c:lblOffset val="100"/>
        <c:noMultiLvlLbl val="0"/>
      </c:catAx>
      <c:valAx>
        <c:axId val="192290323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2903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 Excel Dashboards; Power Query, Power Pivot, and VBA.xlsm]Total Profit!PivotTable1</c:name>
    <c:fmtId val="8"/>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Top 10 Products</a:t>
            </a:r>
          </a:p>
        </c:rich>
      </c:tx>
      <c:layout>
        <c:manualLayout>
          <c:xMode val="edge"/>
          <c:yMode val="edge"/>
          <c:x val="0.37092750731785756"/>
          <c:y val="3.485144453064981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0882340803690729"/>
          <c:y val="0.22232895015483725"/>
          <c:w val="0.3783269036746531"/>
          <c:h val="0.6382643220919223"/>
        </c:manualLayout>
      </c:layout>
      <c:barChart>
        <c:barDir val="bar"/>
        <c:grouping val="clustered"/>
        <c:varyColors val="0"/>
        <c:ser>
          <c:idx val="0"/>
          <c:order val="0"/>
          <c:tx>
            <c:strRef>
              <c:f>'Total Profit'!$C$3</c:f>
              <c:strCache>
                <c:ptCount val="1"/>
                <c:pt idx="0">
                  <c:v>Total</c:v>
                </c:pt>
              </c:strCache>
            </c:strRef>
          </c:tx>
          <c:spPr>
            <a:solidFill>
              <a:schemeClr val="accent6">
                <a:lumMod val="75000"/>
              </a:schemeClr>
            </a:solidFill>
            <a:ln>
              <a:noFill/>
            </a:ln>
            <a:effectLst/>
          </c:spPr>
          <c:invertIfNegative val="0"/>
          <c:cat>
            <c:strRef>
              <c:f>'Total Profit'!$B$4:$B$14</c:f>
              <c:strCache>
                <c:ptCount val="10"/>
                <c:pt idx="0">
                  <c:v>Jeans</c:v>
                </c:pt>
                <c:pt idx="1">
                  <c:v>Vacuum Cleaner</c:v>
                </c:pt>
                <c:pt idx="2">
                  <c:v>Action Figure</c:v>
                </c:pt>
                <c:pt idx="3">
                  <c:v>Blender</c:v>
                </c:pt>
                <c:pt idx="4">
                  <c:v>Smartphone</c:v>
                </c:pt>
                <c:pt idx="5">
                  <c:v>Lipstick</c:v>
                </c:pt>
                <c:pt idx="6">
                  <c:v>Headphones</c:v>
                </c:pt>
                <c:pt idx="7">
                  <c:v>Cookware Set</c:v>
                </c:pt>
                <c:pt idx="8">
                  <c:v>T-Shirt</c:v>
                </c:pt>
                <c:pt idx="9">
                  <c:v>Fiction</c:v>
                </c:pt>
              </c:strCache>
            </c:strRef>
          </c:cat>
          <c:val>
            <c:numRef>
              <c:f>'Total Profit'!$C$4:$C$14</c:f>
              <c:numCache>
                <c:formatCode>0.00</c:formatCode>
                <c:ptCount val="10"/>
                <c:pt idx="0">
                  <c:v>18382</c:v>
                </c:pt>
                <c:pt idx="1">
                  <c:v>18368.012000000002</c:v>
                </c:pt>
                <c:pt idx="2">
                  <c:v>14041.210999999999</c:v>
                </c:pt>
                <c:pt idx="3">
                  <c:v>12599.803999999998</c:v>
                </c:pt>
                <c:pt idx="4">
                  <c:v>11560.206</c:v>
                </c:pt>
                <c:pt idx="5">
                  <c:v>9356.5625</c:v>
                </c:pt>
                <c:pt idx="6">
                  <c:v>7970.7510000000002</c:v>
                </c:pt>
                <c:pt idx="7">
                  <c:v>6255.1459999999997</c:v>
                </c:pt>
                <c:pt idx="8">
                  <c:v>5724.9504999999999</c:v>
                </c:pt>
                <c:pt idx="9">
                  <c:v>5098.9850000000006</c:v>
                </c:pt>
              </c:numCache>
            </c:numRef>
          </c:val>
          <c:extLst>
            <c:ext xmlns:c16="http://schemas.microsoft.com/office/drawing/2014/chart" uri="{C3380CC4-5D6E-409C-BE32-E72D297353CC}">
              <c16:uniqueId val="{00000004-CDE4-4B5B-A187-69C0BDCA8906}"/>
            </c:ext>
          </c:extLst>
        </c:ser>
        <c:dLbls>
          <c:showLegendKey val="0"/>
          <c:showVal val="0"/>
          <c:showCatName val="0"/>
          <c:showSerName val="0"/>
          <c:showPercent val="0"/>
          <c:showBubbleSize val="0"/>
        </c:dLbls>
        <c:gapWidth val="182"/>
        <c:axId val="1922899871"/>
        <c:axId val="1922900351"/>
      </c:barChart>
      <c:catAx>
        <c:axId val="19228998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22900351"/>
        <c:crosses val="autoZero"/>
        <c:auto val="1"/>
        <c:lblAlgn val="ctr"/>
        <c:lblOffset val="100"/>
        <c:noMultiLvlLbl val="0"/>
      </c:catAx>
      <c:valAx>
        <c:axId val="192290035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22899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 Excel Dashboards; Power Query, Power Pivot, and VBA.xlsm]Profit Margin!PivotTable3</c:name>
    <c:fmtId val="6"/>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47709051941492"/>
          <c:y val="0.18677852672882425"/>
          <c:w val="0.64181408207063739"/>
          <c:h val="0.34636689724505254"/>
        </c:manualLayout>
      </c:layout>
      <c:barChart>
        <c:barDir val="col"/>
        <c:grouping val="clustered"/>
        <c:varyColors val="0"/>
        <c:ser>
          <c:idx val="0"/>
          <c:order val="0"/>
          <c:tx>
            <c:strRef>
              <c:f>'Profit Margin'!$C$3</c:f>
              <c:strCache>
                <c:ptCount val="1"/>
                <c:pt idx="0">
                  <c:v>Total Revenue</c:v>
                </c:pt>
              </c:strCache>
            </c:strRef>
          </c:tx>
          <c:spPr>
            <a:solidFill>
              <a:schemeClr val="accent6">
                <a:lumMod val="75000"/>
              </a:schemeClr>
            </a:solidFill>
            <a:ln>
              <a:noFill/>
            </a:ln>
            <a:effectLst/>
          </c:spPr>
          <c:invertIfNegative val="0"/>
          <c:cat>
            <c:strRef>
              <c:f>'Profit Margin'!$B$4:$B$10</c:f>
              <c:strCache>
                <c:ptCount val="6"/>
                <c:pt idx="0">
                  <c:v>Beauty</c:v>
                </c:pt>
                <c:pt idx="1">
                  <c:v>Books</c:v>
                </c:pt>
                <c:pt idx="2">
                  <c:v>Clothing</c:v>
                </c:pt>
                <c:pt idx="3">
                  <c:v>Electronics</c:v>
                </c:pt>
                <c:pt idx="4">
                  <c:v>Home &amp; Kitchen</c:v>
                </c:pt>
                <c:pt idx="5">
                  <c:v>Toys</c:v>
                </c:pt>
              </c:strCache>
            </c:strRef>
          </c:cat>
          <c:val>
            <c:numRef>
              <c:f>'Profit Margin'!$C$4:$C$10</c:f>
              <c:numCache>
                <c:formatCode>0.00</c:formatCode>
                <c:ptCount val="6"/>
                <c:pt idx="0">
                  <c:v>18276.972500000003</c:v>
                </c:pt>
                <c:pt idx="1">
                  <c:v>5098.9850000000006</c:v>
                </c:pt>
                <c:pt idx="2">
                  <c:v>24106.950499999999</c:v>
                </c:pt>
                <c:pt idx="3">
                  <c:v>19530.956999999999</c:v>
                </c:pt>
                <c:pt idx="4">
                  <c:v>37222.962000000007</c:v>
                </c:pt>
                <c:pt idx="5">
                  <c:v>19007.622499999998</c:v>
                </c:pt>
              </c:numCache>
            </c:numRef>
          </c:val>
          <c:extLst>
            <c:ext xmlns:c16="http://schemas.microsoft.com/office/drawing/2014/chart" uri="{C3380CC4-5D6E-409C-BE32-E72D297353CC}">
              <c16:uniqueId val="{0000000A-DAF0-43ED-9E80-6F42AB3B7B7A}"/>
            </c:ext>
          </c:extLst>
        </c:ser>
        <c:ser>
          <c:idx val="1"/>
          <c:order val="1"/>
          <c:tx>
            <c:strRef>
              <c:f>'Profit Margin'!$D$3</c:f>
              <c:strCache>
                <c:ptCount val="1"/>
                <c:pt idx="0">
                  <c:v>Total Profit</c:v>
                </c:pt>
              </c:strCache>
            </c:strRef>
          </c:tx>
          <c:spPr>
            <a:solidFill>
              <a:schemeClr val="accent5"/>
            </a:solidFill>
            <a:ln>
              <a:noFill/>
            </a:ln>
            <a:effectLst/>
          </c:spPr>
          <c:invertIfNegative val="0"/>
          <c:cat>
            <c:strRef>
              <c:f>'Profit Margin'!$B$4:$B$10</c:f>
              <c:strCache>
                <c:ptCount val="6"/>
                <c:pt idx="0">
                  <c:v>Beauty</c:v>
                </c:pt>
                <c:pt idx="1">
                  <c:v>Books</c:v>
                </c:pt>
                <c:pt idx="2">
                  <c:v>Clothing</c:v>
                </c:pt>
                <c:pt idx="3">
                  <c:v>Electronics</c:v>
                </c:pt>
                <c:pt idx="4">
                  <c:v>Home &amp; Kitchen</c:v>
                </c:pt>
                <c:pt idx="5">
                  <c:v>Toys</c:v>
                </c:pt>
              </c:strCache>
            </c:strRef>
          </c:cat>
          <c:val>
            <c:numRef>
              <c:f>'Profit Margin'!$D$4:$D$10</c:f>
              <c:numCache>
                <c:formatCode>0.00</c:formatCode>
                <c:ptCount val="6"/>
                <c:pt idx="0">
                  <c:v>6892.3224999999993</c:v>
                </c:pt>
                <c:pt idx="1">
                  <c:v>1962.9350000000006</c:v>
                </c:pt>
                <c:pt idx="2">
                  <c:v>9000.570499999998</c:v>
                </c:pt>
                <c:pt idx="3">
                  <c:v>7243.9569999999994</c:v>
                </c:pt>
                <c:pt idx="4">
                  <c:v>14190.602000000003</c:v>
                </c:pt>
                <c:pt idx="5">
                  <c:v>7285.7824999999993</c:v>
                </c:pt>
              </c:numCache>
            </c:numRef>
          </c:val>
          <c:extLst>
            <c:ext xmlns:c16="http://schemas.microsoft.com/office/drawing/2014/chart" uri="{C3380CC4-5D6E-409C-BE32-E72D297353CC}">
              <c16:uniqueId val="{0000000B-DAF0-43ED-9E80-6F42AB3B7B7A}"/>
            </c:ext>
          </c:extLst>
        </c:ser>
        <c:ser>
          <c:idx val="2"/>
          <c:order val="2"/>
          <c:tx>
            <c:strRef>
              <c:f>'Profit Margin'!$E$3</c:f>
              <c:strCache>
                <c:ptCount val="1"/>
                <c:pt idx="0">
                  <c:v>Profit Margin</c:v>
                </c:pt>
              </c:strCache>
            </c:strRef>
          </c:tx>
          <c:spPr>
            <a:solidFill>
              <a:schemeClr val="accent4"/>
            </a:solidFill>
            <a:ln>
              <a:noFill/>
            </a:ln>
            <a:effectLst/>
          </c:spPr>
          <c:invertIfNegative val="0"/>
          <c:cat>
            <c:strRef>
              <c:f>'Profit Margin'!$B$4:$B$10</c:f>
              <c:strCache>
                <c:ptCount val="6"/>
                <c:pt idx="0">
                  <c:v>Beauty</c:v>
                </c:pt>
                <c:pt idx="1">
                  <c:v>Books</c:v>
                </c:pt>
                <c:pt idx="2">
                  <c:v>Clothing</c:v>
                </c:pt>
                <c:pt idx="3">
                  <c:v>Electronics</c:v>
                </c:pt>
                <c:pt idx="4">
                  <c:v>Home &amp; Kitchen</c:v>
                </c:pt>
                <c:pt idx="5">
                  <c:v>Toys</c:v>
                </c:pt>
              </c:strCache>
            </c:strRef>
          </c:cat>
          <c:val>
            <c:numRef>
              <c:f>'Profit Margin'!$E$4:$E$10</c:f>
              <c:numCache>
                <c:formatCode>0.00%;\-0.00%;0.00%</c:formatCode>
                <c:ptCount val="6"/>
                <c:pt idx="0">
                  <c:v>0.37710416755291382</c:v>
                </c:pt>
                <c:pt idx="1">
                  <c:v>0.38496583143507979</c:v>
                </c:pt>
                <c:pt idx="2">
                  <c:v>0.37335997765457718</c:v>
                </c:pt>
                <c:pt idx="3">
                  <c:v>0.37089616243587037</c:v>
                </c:pt>
                <c:pt idx="4">
                  <c:v>0.38123247687811623</c:v>
                </c:pt>
                <c:pt idx="5">
                  <c:v>0.38330845954037651</c:v>
                </c:pt>
              </c:numCache>
            </c:numRef>
          </c:val>
          <c:extLst>
            <c:ext xmlns:c16="http://schemas.microsoft.com/office/drawing/2014/chart" uri="{C3380CC4-5D6E-409C-BE32-E72D297353CC}">
              <c16:uniqueId val="{0000000C-DAF0-43ED-9E80-6F42AB3B7B7A}"/>
            </c:ext>
          </c:extLst>
        </c:ser>
        <c:dLbls>
          <c:showLegendKey val="0"/>
          <c:showVal val="0"/>
          <c:showCatName val="0"/>
          <c:showSerName val="0"/>
          <c:showPercent val="0"/>
          <c:showBubbleSize val="0"/>
        </c:dLbls>
        <c:gapWidth val="219"/>
        <c:overlap val="-27"/>
        <c:axId val="1922903711"/>
        <c:axId val="1922903231"/>
      </c:barChart>
      <c:catAx>
        <c:axId val="1922903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22903231"/>
        <c:crosses val="autoZero"/>
        <c:auto val="1"/>
        <c:lblAlgn val="ctr"/>
        <c:lblOffset val="100"/>
        <c:noMultiLvlLbl val="0"/>
      </c:catAx>
      <c:valAx>
        <c:axId val="192290323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22903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 Excel Dashboards; Power Query, Power Pivot, and VBA.xlsm]Total Revenue!PivotTable2</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Monthly Revenue</a:t>
            </a:r>
          </a:p>
        </c:rich>
      </c:tx>
      <c:layout>
        <c:manualLayout>
          <c:xMode val="edge"/>
          <c:yMode val="edge"/>
          <c:x val="0.39726270366932792"/>
          <c:y val="5.394489589360808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515166436925345"/>
          <c:y val="0.23268538175569103"/>
          <c:w val="0.44065951687910321"/>
          <c:h val="0.62526682161511504"/>
        </c:manualLayout>
      </c:layout>
      <c:barChart>
        <c:barDir val="bar"/>
        <c:grouping val="clustered"/>
        <c:varyColors val="0"/>
        <c:ser>
          <c:idx val="0"/>
          <c:order val="0"/>
          <c:tx>
            <c:strRef>
              <c:f>'Total Revenue'!$C$3</c:f>
              <c:strCache>
                <c:ptCount val="1"/>
                <c:pt idx="0">
                  <c:v>Total</c:v>
                </c:pt>
              </c:strCache>
            </c:strRef>
          </c:tx>
          <c:spPr>
            <a:solidFill>
              <a:schemeClr val="accent6"/>
            </a:solidFill>
            <a:ln>
              <a:noFill/>
            </a:ln>
            <a:effectLst/>
          </c:spPr>
          <c:invertIfNegative val="0"/>
          <c:cat>
            <c:strRef>
              <c:f>'Total Revenue'!$B$4:$B$16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'Total Revenue'!$C$4:$C$16</c:f>
              <c:numCache>
                <c:formatCode>0.00</c:formatCode>
                <c:ptCount val="12"/>
                <c:pt idx="0">
                  <c:v>9163.8089999999993</c:v>
                </c:pt>
                <c:pt idx="1">
                  <c:v>8061.0880000000006</c:v>
                </c:pt>
                <c:pt idx="2">
                  <c:v>8549.0024999999987</c:v>
                </c:pt>
                <c:pt idx="3">
                  <c:v>12629.074000000001</c:v>
                </c:pt>
                <c:pt idx="4">
                  <c:v>17809.206999999999</c:v>
                </c:pt>
                <c:pt idx="5">
                  <c:v>6693.9674999999997</c:v>
                </c:pt>
                <c:pt idx="6">
                  <c:v>15003.929</c:v>
                </c:pt>
                <c:pt idx="7">
                  <c:v>8364.6924999999992</c:v>
                </c:pt>
                <c:pt idx="8">
                  <c:v>6456.6770000000006</c:v>
                </c:pt>
                <c:pt idx="9">
                  <c:v>12313.871499999999</c:v>
                </c:pt>
                <c:pt idx="10">
                  <c:v>12538.598</c:v>
                </c:pt>
                <c:pt idx="11">
                  <c:v>5660.5334999999995</c:v>
                </c:pt>
              </c:numCache>
            </c:numRef>
          </c:val>
          <c:extLst>
            <c:ext xmlns:c16="http://schemas.microsoft.com/office/drawing/2014/chart" uri="{C3380CC4-5D6E-409C-BE32-E72D297353CC}">
              <c16:uniqueId val="{00000004-D595-4D99-BADF-0F83018565F3}"/>
            </c:ext>
          </c:extLst>
        </c:ser>
        <c:dLbls>
          <c:showLegendKey val="0"/>
          <c:showVal val="0"/>
          <c:showCatName val="0"/>
          <c:showSerName val="0"/>
          <c:showPercent val="0"/>
          <c:showBubbleSize val="0"/>
        </c:dLbls>
        <c:gapWidth val="182"/>
        <c:axId val="1922899871"/>
        <c:axId val="1922900351"/>
      </c:barChart>
      <c:catAx>
        <c:axId val="19228998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22900351"/>
        <c:crosses val="autoZero"/>
        <c:auto val="1"/>
        <c:lblAlgn val="ctr"/>
        <c:lblOffset val="100"/>
        <c:noMultiLvlLbl val="0"/>
      </c:catAx>
      <c:valAx>
        <c:axId val="192290035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22899871"/>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571500</xdr:colOff>
      <xdr:row>2</xdr:row>
      <xdr:rowOff>0</xdr:rowOff>
    </xdr:from>
    <xdr:to>
      <xdr:col>14</xdr:col>
      <xdr:colOff>295275</xdr:colOff>
      <xdr:row>15</xdr:row>
      <xdr:rowOff>19050</xdr:rowOff>
    </xdr:to>
    <xdr:graphicFrame macro="">
      <xdr:nvGraphicFramePr>
        <xdr:cNvPr id="2" name="Chart 1">
          <a:extLst>
            <a:ext uri="{FF2B5EF4-FFF2-40B4-BE49-F238E27FC236}">
              <a16:creationId xmlns:a16="http://schemas.microsoft.com/office/drawing/2014/main" id="{37C6C4D8-9A3B-7C3F-129D-E4224A2F45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238125</xdr:colOff>
      <xdr:row>2</xdr:row>
      <xdr:rowOff>0</xdr:rowOff>
    </xdr:from>
    <xdr:to>
      <xdr:col>5</xdr:col>
      <xdr:colOff>161925</xdr:colOff>
      <xdr:row>12</xdr:row>
      <xdr:rowOff>161925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668B05E6-82FB-9891-E096-77DD27538EE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676525" y="381000"/>
              <a:ext cx="1828800" cy="2066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295275</xdr:colOff>
      <xdr:row>2</xdr:row>
      <xdr:rowOff>28574</xdr:rowOff>
    </xdr:from>
    <xdr:to>
      <xdr:col>7</xdr:col>
      <xdr:colOff>400050</xdr:colOff>
      <xdr:row>12</xdr:row>
      <xdr:rowOff>133350</xdr:rowOff>
    </xdr:to>
    <mc:AlternateContent xmlns:mc="http://schemas.openxmlformats.org/markup-compatibility/2006" xmlns:a14="http://schemas.microsoft.com/office/drawing/2010/main">
      <mc:Choice Requires="a14">
        <xdr:graphicFrame macro="">
          <xdr:nvGraphicFramePr>
            <xdr:cNvPr id="4" name="City">
              <a:extLst>
                <a:ext uri="{FF2B5EF4-FFF2-40B4-BE49-F238E27FC236}">
                  <a16:creationId xmlns:a16="http://schemas.microsoft.com/office/drawing/2014/main" id="{3244E6FB-45EE-425C-67A2-94E99382EF57}"/>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4638675" y="409574"/>
              <a:ext cx="1323975" cy="2009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266700</xdr:colOff>
      <xdr:row>13</xdr:row>
      <xdr:rowOff>85725</xdr:rowOff>
    </xdr:from>
    <xdr:to>
      <xdr:col>7</xdr:col>
      <xdr:colOff>476250</xdr:colOff>
      <xdr:row>20</xdr:row>
      <xdr:rowOff>123825</xdr:rowOff>
    </xdr:to>
    <mc:AlternateContent xmlns:mc="http://schemas.openxmlformats.org/markup-compatibility/2006" xmlns:tsle="http://schemas.microsoft.com/office/drawing/2012/timeslicer">
      <mc:Choice Requires="tsle">
        <xdr:graphicFrame macro="">
          <xdr:nvGraphicFramePr>
            <xdr:cNvPr id="5" name="OrderDate">
              <a:extLst>
                <a:ext uri="{FF2B5EF4-FFF2-40B4-BE49-F238E27FC236}">
                  <a16:creationId xmlns:a16="http://schemas.microsoft.com/office/drawing/2014/main" id="{1FD4A008-2967-B50E-EB18-94D64750E75C}"/>
                </a:ext>
              </a:extLst>
            </xdr:cNvPr>
            <xdr:cNvGraphicFramePr/>
          </xdr:nvGraphicFramePr>
          <xdr:xfrm>
            <a:off x="0" y="0"/>
            <a:ext cx="0" cy="0"/>
          </xdr:xfrm>
          <a:graphic>
            <a:graphicData uri="http://schemas.microsoft.com/office/drawing/2012/timeslicer">
              <tsle:timeslicer name="OrderDate"/>
            </a:graphicData>
          </a:graphic>
        </xdr:graphicFrame>
      </mc:Choice>
      <mc:Fallback xmlns="">
        <xdr:sp macro="" textlink="">
          <xdr:nvSpPr>
            <xdr:cNvPr id="0" name=""/>
            <xdr:cNvSpPr>
              <a:spLocks noTextEdit="1"/>
            </xdr:cNvSpPr>
          </xdr:nvSpPr>
          <xdr:spPr>
            <a:xfrm>
              <a:off x="2705100" y="256222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457199</xdr:colOff>
      <xdr:row>0</xdr:row>
      <xdr:rowOff>161925</xdr:rowOff>
    </xdr:from>
    <xdr:to>
      <xdr:col>13</xdr:col>
      <xdr:colOff>47624</xdr:colOff>
      <xdr:row>15</xdr:row>
      <xdr:rowOff>180975</xdr:rowOff>
    </xdr:to>
    <xdr:graphicFrame macro="">
      <xdr:nvGraphicFramePr>
        <xdr:cNvPr id="2" name="Chart 1">
          <a:extLst>
            <a:ext uri="{FF2B5EF4-FFF2-40B4-BE49-F238E27FC236}">
              <a16:creationId xmlns:a16="http://schemas.microsoft.com/office/drawing/2014/main" id="{82E2E2E1-5313-5026-A156-4E1E54D705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47625</xdr:colOff>
      <xdr:row>0</xdr:row>
      <xdr:rowOff>142875</xdr:rowOff>
    </xdr:from>
    <xdr:to>
      <xdr:col>12</xdr:col>
      <xdr:colOff>514350</xdr:colOff>
      <xdr:row>15</xdr:row>
      <xdr:rowOff>95250</xdr:rowOff>
    </xdr:to>
    <xdr:graphicFrame macro="">
      <xdr:nvGraphicFramePr>
        <xdr:cNvPr id="3" name="Chart 2">
          <a:extLst>
            <a:ext uri="{FF2B5EF4-FFF2-40B4-BE49-F238E27FC236}">
              <a16:creationId xmlns:a16="http://schemas.microsoft.com/office/drawing/2014/main" id="{71A9B9F4-2995-4C94-E382-902098E77F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17196</xdr:colOff>
      <xdr:row>3</xdr:row>
      <xdr:rowOff>127531</xdr:rowOff>
    </xdr:from>
    <xdr:to>
      <xdr:col>1</xdr:col>
      <xdr:colOff>709082</xdr:colOff>
      <xdr:row>10</xdr:row>
      <xdr:rowOff>31751</xdr:rowOff>
    </xdr:to>
    <mc:AlternateContent xmlns:mc="http://schemas.openxmlformats.org/markup-compatibility/2006" xmlns:a14="http://schemas.microsoft.com/office/drawing/2010/main">
      <mc:Choice Requires="a14">
        <xdr:graphicFrame macro="">
          <xdr:nvGraphicFramePr>
            <xdr:cNvPr id="3" name="Category 1">
              <a:extLst>
                <a:ext uri="{FF2B5EF4-FFF2-40B4-BE49-F238E27FC236}">
                  <a16:creationId xmlns:a16="http://schemas.microsoft.com/office/drawing/2014/main" id="{4E205DF1-BCC5-4ABF-A027-2BD9FCFED8BA}"/>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7196" y="804864"/>
              <a:ext cx="2110053" cy="1237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867832</xdr:colOff>
      <xdr:row>3</xdr:row>
      <xdr:rowOff>107158</xdr:rowOff>
    </xdr:from>
    <xdr:to>
      <xdr:col>2</xdr:col>
      <xdr:colOff>1471083</xdr:colOff>
      <xdr:row>10</xdr:row>
      <xdr:rowOff>59534</xdr:rowOff>
    </xdr:to>
    <mc:AlternateContent xmlns:mc="http://schemas.openxmlformats.org/markup-compatibility/2006">
      <mc:Choice xmlns:a14="http://schemas.microsoft.com/office/drawing/2010/main" Requires="a14">
        <xdr:graphicFrame macro="">
          <xdr:nvGraphicFramePr>
            <xdr:cNvPr id="4" name="City 1">
              <a:extLst>
                <a:ext uri="{FF2B5EF4-FFF2-40B4-BE49-F238E27FC236}">
                  <a16:creationId xmlns:a16="http://schemas.microsoft.com/office/drawing/2014/main" id="{4DC3B6D0-FAF7-4743-B6B3-AA04201DE895}"/>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dr:sp macro="" textlink="">
          <xdr:nvSpPr>
            <xdr:cNvPr id="0" name=""/>
            <xdr:cNvSpPr>
              <a:spLocks noTextEdit="1"/>
            </xdr:cNvSpPr>
          </xdr:nvSpPr>
          <xdr:spPr>
            <a:xfrm>
              <a:off x="2285999" y="784491"/>
              <a:ext cx="1799167" cy="1285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542270</xdr:colOff>
      <xdr:row>3</xdr:row>
      <xdr:rowOff>87523</xdr:rowOff>
    </xdr:from>
    <xdr:to>
      <xdr:col>8</xdr:col>
      <xdr:colOff>846666</xdr:colOff>
      <xdr:row>10</xdr:row>
      <xdr:rowOff>58947</xdr:rowOff>
    </xdr:to>
    <mc:AlternateContent xmlns:mc="http://schemas.openxmlformats.org/markup-compatibility/2006">
      <mc:Choice xmlns:tsle="http://schemas.microsoft.com/office/drawing/2012/timeslicer" Requires="tsle">
        <xdr:graphicFrame macro="">
          <xdr:nvGraphicFramePr>
            <xdr:cNvPr id="6" name="OrderDate 1">
              <a:extLst>
                <a:ext uri="{FF2B5EF4-FFF2-40B4-BE49-F238E27FC236}">
                  <a16:creationId xmlns:a16="http://schemas.microsoft.com/office/drawing/2014/main" id="{AF9D5EFE-7524-4AC9-9909-3C28E92EC4A6}"/>
                </a:ext>
              </a:extLst>
            </xdr:cNvPr>
            <xdr:cNvGraphicFramePr/>
          </xdr:nvGraphicFramePr>
          <xdr:xfrm>
            <a:off x="0" y="0"/>
            <a:ext cx="0" cy="0"/>
          </xdr:xfrm>
          <a:graphic>
            <a:graphicData uri="http://schemas.microsoft.com/office/drawing/2012/timeslicer">
              <tsle:timeslicer xmlns:tsle="http://schemas.microsoft.com/office/drawing/2012/timeslicer" name="OrderDate 1"/>
            </a:graphicData>
          </a:graphic>
        </xdr:graphicFrame>
      </mc:Choice>
      <mc:Fallback>
        <xdr:sp macro="" textlink="">
          <xdr:nvSpPr>
            <xdr:cNvPr id="0" name=""/>
            <xdr:cNvSpPr>
              <a:spLocks noTextEdit="1"/>
            </xdr:cNvSpPr>
          </xdr:nvSpPr>
          <xdr:spPr>
            <a:xfrm>
              <a:off x="5982103" y="764856"/>
              <a:ext cx="5056313" cy="130492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absolute">
    <xdr:from>
      <xdr:col>3</xdr:col>
      <xdr:colOff>18894</xdr:colOff>
      <xdr:row>3</xdr:row>
      <xdr:rowOff>114136</xdr:rowOff>
    </xdr:from>
    <xdr:to>
      <xdr:col>4</xdr:col>
      <xdr:colOff>393963</xdr:colOff>
      <xdr:row>10</xdr:row>
      <xdr:rowOff>63500</xdr:rowOff>
    </xdr:to>
    <mc:AlternateContent xmlns:mc="http://schemas.openxmlformats.org/markup-compatibility/2006">
      <mc:Choice xmlns:a14="http://schemas.microsoft.com/office/drawing/2010/main" Requires="a14">
        <xdr:graphicFrame macro="">
          <xdr:nvGraphicFramePr>
            <xdr:cNvPr id="12" name="CustomerType">
              <a:extLst>
                <a:ext uri="{FF2B5EF4-FFF2-40B4-BE49-F238E27FC236}">
                  <a16:creationId xmlns:a16="http://schemas.microsoft.com/office/drawing/2014/main" id="{B03AB5AC-8DAF-B4DC-C9B0-84857641F2D2}"/>
                </a:ext>
              </a:extLst>
            </xdr:cNvPr>
            <xdr:cNvGraphicFramePr/>
          </xdr:nvGraphicFramePr>
          <xdr:xfrm>
            <a:off x="0" y="0"/>
            <a:ext cx="0" cy="0"/>
          </xdr:xfrm>
          <a:graphic>
            <a:graphicData uri="http://schemas.microsoft.com/office/drawing/2010/slicer">
              <sle:slicer xmlns:sle="http://schemas.microsoft.com/office/drawing/2010/slicer" name="CustomerType"/>
            </a:graphicData>
          </a:graphic>
        </xdr:graphicFrame>
      </mc:Choice>
      <mc:Fallback>
        <xdr:sp macro="" textlink="">
          <xdr:nvSpPr>
            <xdr:cNvPr id="0" name=""/>
            <xdr:cNvSpPr>
              <a:spLocks noTextEdit="1"/>
            </xdr:cNvSpPr>
          </xdr:nvSpPr>
          <xdr:spPr>
            <a:xfrm>
              <a:off x="4283977" y="791469"/>
              <a:ext cx="1549819" cy="1282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9</xdr:col>
          <xdr:colOff>3175</xdr:colOff>
          <xdr:row>6</xdr:row>
          <xdr:rowOff>123825</xdr:rowOff>
        </xdr:from>
        <xdr:to>
          <xdr:col>9</xdr:col>
          <xdr:colOff>1441450</xdr:colOff>
          <xdr:row>8</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Reset Dashboard Filters</a:t>
              </a:r>
            </a:p>
          </xdr:txBody>
        </xdr:sp>
        <xdr:clientData fPrintsWithSheet="0"/>
      </xdr:twoCellAnchor>
    </mc:Choice>
    <mc:Fallback/>
  </mc:AlternateContent>
  <xdr:twoCellAnchor>
    <xdr:from>
      <xdr:col>3</xdr:col>
      <xdr:colOff>197459</xdr:colOff>
      <xdr:row>10</xdr:row>
      <xdr:rowOff>178594</xdr:rowOff>
    </xdr:from>
    <xdr:to>
      <xdr:col>6</xdr:col>
      <xdr:colOff>372738</xdr:colOff>
      <xdr:row>21</xdr:row>
      <xdr:rowOff>154780</xdr:rowOff>
    </xdr:to>
    <xdr:graphicFrame macro="">
      <xdr:nvGraphicFramePr>
        <xdr:cNvPr id="10" name="Chart 9">
          <a:extLst>
            <a:ext uri="{FF2B5EF4-FFF2-40B4-BE49-F238E27FC236}">
              <a16:creationId xmlns:a16="http://schemas.microsoft.com/office/drawing/2014/main" id="{3BD14738-5843-4E59-9F67-0548FA3282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409246</xdr:colOff>
      <xdr:row>10</xdr:row>
      <xdr:rowOff>169334</xdr:rowOff>
    </xdr:from>
    <xdr:to>
      <xdr:col>9</xdr:col>
      <xdr:colOff>1883834</xdr:colOff>
      <xdr:row>21</xdr:row>
      <xdr:rowOff>166687</xdr:rowOff>
    </xdr:to>
    <xdr:graphicFrame macro="">
      <xdr:nvGraphicFramePr>
        <xdr:cNvPr id="11" name="Chart 10">
          <a:extLst>
            <a:ext uri="{FF2B5EF4-FFF2-40B4-BE49-F238E27FC236}">
              <a16:creationId xmlns:a16="http://schemas.microsoft.com/office/drawing/2014/main" id="{15E2848D-9A5B-4F9A-A4C3-2CB9F5D28C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10</xdr:row>
      <xdr:rowOff>183886</xdr:rowOff>
    </xdr:from>
    <xdr:to>
      <xdr:col>3</xdr:col>
      <xdr:colOff>168019</xdr:colOff>
      <xdr:row>21</xdr:row>
      <xdr:rowOff>155310</xdr:rowOff>
    </xdr:to>
    <xdr:graphicFrame macro="">
      <xdr:nvGraphicFramePr>
        <xdr:cNvPr id="7" name="Chart 6">
          <a:extLst>
            <a:ext uri="{FF2B5EF4-FFF2-40B4-BE49-F238E27FC236}">
              <a16:creationId xmlns:a16="http://schemas.microsoft.com/office/drawing/2014/main" id="{B0C4554A-977E-4B7B-A53C-938F9D1D1D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absolute">
        <xdr:from>
          <xdr:col>8</xdr:col>
          <xdr:colOff>1023408</xdr:colOff>
          <xdr:row>3</xdr:row>
          <xdr:rowOff>133350</xdr:rowOff>
        </xdr:from>
        <xdr:to>
          <xdr:col>9</xdr:col>
          <xdr:colOff>1422400</xdr:colOff>
          <xdr:row>5</xdr:row>
          <xdr:rowOff>19050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Refresh Data</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Shamima Sultana" refreshedDate="46284.478172916664" createdVersion="8" refreshedVersion="8" minRefreshableVersion="3" recordCount="0" supportSubquery="1" supportAdvancedDrill="1" xr:uid="{4EA80685-251F-4CCC-97C4-CEF54C06B124}">
  <cacheSource type="external" connectionId="8"/>
  <cacheFields count="9">
    <cacheField name="[Products].[Category].[Category]" caption="Category" numFmtId="0" hierarchy="9" level="1">
      <sharedItems count="6">
        <s v="Clothing"/>
        <s v="Electronics"/>
        <s v="Home &amp; Kitchen"/>
        <s v="Beauty"/>
        <s v="Toys"/>
        <s v="Books"/>
      </sharedItems>
    </cacheField>
    <cacheField name="[Measures].[Total Revenue]" caption="Total Revenue" numFmtId="0" hierarchy="38" level="32767"/>
    <cacheField name="[Measures].[Total Profit]" caption="Total Profit" numFmtId="0" hierarchy="34" level="32767"/>
    <cacheField name="[Measures].[Profit Margin]" caption="Profit Margin" numFmtId="0" hierarchy="35" level="32767"/>
    <cacheField name="[Measures].[YTD Revenue]" caption="YTD Revenue" numFmtId="0" hierarchy="36" level="32767"/>
    <cacheField name="[Measures].[Total Orders]" caption="Total Orders" numFmtId="0" hierarchy="40" level="32767"/>
    <cacheField name="[Measures].[Average Order Value]" caption="Average Order Value" numFmtId="0" hierarchy="41" level="32767"/>
    <cacheField name="[Products].[ProductName].[ProductName]" caption="ProductName" numFmtId="0" hierarchy="8" level="1">
      <sharedItems count="13">
        <s v="Jeans"/>
        <s v="Headphones"/>
        <s v="Blender"/>
        <s v="Vacuum Cleaner"/>
        <s v="Foundation"/>
        <s v="Lipstick"/>
        <s v="T-Shirt"/>
        <s v="Board Game"/>
        <s v="Cookware Set"/>
        <s v="Perfume"/>
        <s v="Fiction"/>
        <s v="Smartphone"/>
        <s v="Action Figure"/>
      </sharedItems>
    </cacheField>
    <cacheField name="[Sales].[OrderDate (Month)].[OrderDate (Month)]" caption="OrderDate (Month)" numFmtId="0" hierarchy="32" level="1">
      <sharedItems count="12">
        <s v="Jan"/>
        <s v="Feb"/>
        <s v="Mar"/>
        <s v="Apr"/>
        <s v="May"/>
        <s v="Jun"/>
        <s v="Jul"/>
        <s v="Aug"/>
        <s v="Sep"/>
        <s v="Oct"/>
        <s v="Nov"/>
        <s v="Dec"/>
      </sharedItems>
    </cacheField>
  </cacheFields>
  <cacheHierarchies count="48">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RegionID]" caption="RegionID" attribute="1" defaultMemberUniqueName="[Customers].[RegionID].[All]" allUniqueName="[Customers].[RegionID].[All]" dimensionUniqueName="[Customers]" displayFolder="" count="0" memberValueDatatype="130" unbalanced="0"/>
    <cacheHierarchy uniqueName="[Customers].[JoinDate]" caption="JoinDate" attribute="1" time="1" defaultMemberUniqueName="[Customers].[JoinDate].[All]" allUniqueName="[Customers].[JoinDate].[All]" dimensionUniqueName="[Customers]" displayFolder="" count="0" memberValueDatatype="7" unbalanced="0"/>
    <cacheHierarchy uniqueName="[Customers].[CustomerType]" caption="CustomerType" attribute="1" defaultMemberUniqueName="[Customers].[CustomerType].[All]" allUniqueName="[Customers].[CustomerType].[All]" dimensionUniqueName="[Customer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2" memberValueDatatype="130" unbalanced="0">
      <fieldsUsage count="2">
        <fieldUsage x="-1"/>
        <fieldUsage x="7"/>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Supplier]" caption="Supplier" attribute="1" defaultMemberUniqueName="[Products].[Supplier].[All]" allUniqueName="[Products].[Supplier].[All]" dimensionUniqueName="[Products]" displayFolder="" count="0" memberValueDatatype="130" unbalanced="0"/>
    <cacheHierarchy uniqueName="[Products].[UnitCost]" caption="UnitCost" attribute="1" defaultMemberUniqueName="[Products].[UnitCost].[All]" allUniqueName="[Products].[Unit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Regions].[RegionID]" caption="RegionID" attribute="1" defaultMemberUniqueName="[Regions].[RegionID].[All]" allUniqueName="[Regions].[RegionID].[All]" dimensionUniqueName="[Regions]" displayFolder="" count="0" memberValueDatatype="130" unbalanced="0"/>
    <cacheHierarchy uniqueName="[Regions].[Country]" caption="Country" attribute="1" defaultMemberUniqueName="[Regions].[Country].[All]" allUniqueName="[Regions].[Country].[All]" dimensionUniqueName="[Regions]" displayFolder="" count="0" memberValueDatatype="130" unbalanced="0"/>
    <cacheHierarchy uniqueName="[Regions].[State/Province]" caption="State/Province" attribute="1" defaultMemberUniqueName="[Regions].[State/Province].[All]" allUniqueName="[Regions].[State/Province].[All]" dimensionUniqueName="[Regions]" displayFolder="" count="0" memberValueDatatype="130" unbalanced="0"/>
    <cacheHierarchy uniqueName="[Regions].[City]" caption="City" attribute="1" defaultMemberUniqueName="[Regions].[City].[All]" allUniqueName="[Regions].[City].[All]" dimensionUniqueName="[Regions]" displayFolder="" count="2" memberValueDatatype="130" unbalanced="0"/>
    <cacheHierarchy uniqueName="[Regions].[PostalCode]" caption="PostalCode" attribute="1" defaultMemberUniqueName="[Regions].[PostalCode].[All]" allUniqueName="[Regions].[PostalCode].[All]" dimensionUniqueName="[Regions]" displayFolder="" count="0" memberValueDatatype="130" unbalanced="0"/>
    <cacheHierarchy uniqueName="[Regions].[SalesManager]" caption="SalesManager" attribute="1" defaultMemberUniqueName="[Regions].[SalesManager].[All]" allUniqueName="[Regions].[SalesManager].[All]" dimensionUniqueName="[Regions]" displayFolder="" count="0" memberValueDatatype="130" unbalanced="0"/>
    <cacheHierarchy uniqueName="[Sales].[OrderID]" caption="OrderID" attribute="1" defaultMemberUniqueName="[Sales].[OrderID].[All]" allUniqueName="[Sales].[OrderID].[All]" dimensionUniqueName="[Sales]" displayFolder="" count="0" memberValueDatatype="20" unbalanced="0"/>
    <cacheHierarchy uniqueName="[Sales].[OrderDate]" caption="OrderDate" attribute="1" time="1" defaultMemberUniqueName="[Sales].[OrderDate].[All]" allUniqueName="[Sales].[OrderDate].[All]" dimensionUniqueName="[Sales]" displayFolder="" count="2" memberValueDatatype="7" unbalanced="0"/>
    <cacheHierarchy uniqueName="[Sales].[CustomerID]" caption="CustomerID" attribute="1" defaultMemberUniqueName="[Sales].[CustomerID].[All]" allUniqueName="[Sales].[CustomerID].[All]" dimensionUniqueName="[Sales]" displayFolder="" count="0" memberValueDatatype="130" unbalanced="0"/>
    <cacheHierarchy uniqueName="[Sales].[ProductID]" caption="ProductID" attribute="1" defaultMemberUniqueName="[Sales].[ProductID].[All]" allUniqueName="[Sales].[Product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GrossAmount]" caption="GrossAmount" attribute="1" defaultMemberUniqueName="[Sales].[GrossAmount].[All]" allUniqueName="[Sales].[GrossAmount].[All]" dimensionUniqueName="[Sales]" displayFolder="" count="0" memberValueDatatype="5" unbalanced="0"/>
    <cacheHierarchy uniqueName="[Sales].[DiscountRate]" caption="DiscountRate" attribute="1" defaultMemberUniqueName="[Sales].[DiscountRate].[All]" allUniqueName="[Sales].[DiscountRate].[All]" dimensionUniqueName="[Sales]" displayFolder="" count="0" memberValueDatatype="5" unbalanced="0"/>
    <cacheHierarchy uniqueName="[Sales].[Revenue]" caption="Revenue" attribute="1" defaultMemberUniqueName="[Sales].[Revenue].[All]" allUniqueName="[Sales].[Revenue].[All]" dimensionUniqueName="[Sales]" displayFolder="" count="0" memberValueDatatype="5" unbalanced="0"/>
    <cacheHierarchy uniqueName="[Sales].[UnitCost]" caption="UnitCost" attribute="1" defaultMemberUniqueName="[Sales].[UnitCost].[All]" allUniqueName="[Sales].[Unit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OrderDate (Year)]" caption="OrderDate (Year)" attribute="1" defaultMemberUniqueName="[Sales].[OrderDate (Year)].[All]" allUniqueName="[Sales].[OrderDate (Year)].[All]" dimensionUniqueName="[Sales]" displayFolder="" count="0" memberValueDatatype="130" unbalanced="0"/>
    <cacheHierarchy uniqueName="[Sales].[OrderDate (Quarter)]" caption="OrderDate (Quarter)" attribute="1" defaultMemberUniqueName="[Sales].[OrderDate (Quarter)].[All]" allUniqueName="[Sales].[OrderDate (Quarter)].[All]" dimensionUniqueName="[Sales]" displayFolder="" count="0" memberValueDatatype="130" unbalanced="0"/>
    <cacheHierarchy uniqueName="[Sales].[OrderDate (Month)]" caption="OrderDate (Month)" attribute="1" defaultMemberUniqueName="[Sales].[OrderDate (Month)].[All]" allUniqueName="[Sales].[OrderDate (Month)].[All]" dimensionUniqueName="[Sales]" displayFolder="" count="2" memberValueDatatype="130" unbalanced="0">
      <fieldsUsage count="2">
        <fieldUsage x="-1"/>
        <fieldUsage x="8"/>
      </fieldsUsage>
    </cacheHierarchy>
    <cacheHierarchy uniqueName="[Sales].[OrderDate (Month Index)]" caption="OrderDate (Month Index)" attribute="1" defaultMemberUniqueName="[Sales].[OrderDate (Month Index)].[All]" allUniqueName="[Sales].[OrderDate (Month Index)].[All]" dimensionUniqueName="[Sales]" displayFolder="" count="0" memberValueDatatype="20" unbalanced="0" hidden="1"/>
    <cacheHierarchy uniqueName="[Measures].[Total Profit]" caption="Total Profit" measure="1" displayFolder="" measureGroup="Sales" count="0" oneField="1">
      <fieldsUsage count="1">
        <fieldUsage x="2"/>
      </fieldsUsage>
    </cacheHierarchy>
    <cacheHierarchy uniqueName="[Measures].[Profit Margin]" caption="Profit Margin" measure="1" displayFolder="" measureGroup="Sales" count="0" oneField="1">
      <fieldsUsage count="1">
        <fieldUsage x="3"/>
      </fieldsUsage>
    </cacheHierarchy>
    <cacheHierarchy uniqueName="[Measures].[YTD Revenue]" caption="YTD Revenue" measure="1" displayFolder="" measureGroup="Sales" count="0" oneField="1">
      <fieldsUsage count="1">
        <fieldUsage x="4"/>
      </fieldsUsage>
    </cacheHierarchy>
    <cacheHierarchy uniqueName="[Measures].[Previous Year Revenue]" caption="Previous Year Revenue" measure="1" displayFolder="" measureGroup="Sales" count="0"/>
    <cacheHierarchy uniqueName="[Measures].[Total Revenue]" caption="Total Revenue" measure="1" displayFolder="" measureGroup="Sales" count="0" oneField="1">
      <fieldsUsage count="1">
        <fieldUsage x="1"/>
      </fieldsUsage>
    </cacheHierarchy>
    <cacheHierarchy uniqueName="[Measures].[YOY Growth]" caption="YOY Growth" measure="1" displayFolder="" measureGroup="Sales" count="0"/>
    <cacheHierarchy uniqueName="[Measures].[Total Orders]" caption="Total Orders" measure="1" displayFolder="" measureGroup="Sales" count="0" oneField="1">
      <fieldsUsage count="1">
        <fieldUsage x="5"/>
      </fieldsUsage>
    </cacheHierarchy>
    <cacheHierarchy uniqueName="[Measures].[Average Order Value]" caption="Average Order Value" measure="1" displayFolder="" measureGroup="Sales" count="0" oneField="1">
      <fieldsUsage count="1">
        <fieldUsage x="6"/>
      </fieldsUsage>
    </cacheHierarchy>
    <cacheHierarchy uniqueName="[Measures].[__XL_Count Sales]" caption="__XL_Count Sales" measure="1" displayFolder="" measureGroup="Sale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gions]" caption="__XL_Count Regions" measure="1" displayFolder="" measureGroup="Regions" count="0" hidden="1"/>
    <cacheHierarchy uniqueName="[Measures].[__No measures defined]" caption="__No measures defined" measure="1" displayFolder="" count="0" hidden="1"/>
    <cacheHierarchy uniqueName="[Measures].[Count of Category]" caption="Count of Category" measure="1" displayFolder="" measureGroup="Products" count="0" hidden="1">
      <extLst>
        <ext xmlns:x15="http://schemas.microsoft.com/office/spreadsheetml/2010/11/main" uri="{B97F6D7D-B522-45F9-BDA1-12C45D357490}">
          <x15:cacheHierarchy aggregatedColumn="9"/>
        </ext>
      </extLst>
    </cacheHierarchy>
  </cacheHierarchies>
  <kpis count="0"/>
  <dimensions count="5">
    <dimension name="Customers" uniqueName="[Customers]" caption="Customers"/>
    <dimension measure="1" name="Measures" uniqueName="[Measures]" caption="Measures"/>
    <dimension name="Products" uniqueName="[Products]" caption="Products"/>
    <dimension name="Regions" uniqueName="[Regions]" caption="Regions"/>
    <dimension name="Sales" uniqueName="[Sales]" caption="Sales"/>
  </dimensions>
  <measureGroups count="4">
    <measureGroup name="Customers" caption="Customers"/>
    <measureGroup name="Products" caption="Products"/>
    <measureGroup name="Regions" caption="Regions"/>
    <measureGroup name="Sales" caption="Sales"/>
  </measureGroups>
  <maps count="8">
    <map measureGroup="0" dimension="0"/>
    <map measureGroup="0" dimension="3"/>
    <map measureGroup="1" dimension="2"/>
    <map measureGroup="2" dimension="3"/>
    <map measureGroup="3" dimension="0"/>
    <map measureGroup="3" dimension="2"/>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Shamima Sultana" refreshedDate="46284.478174305557" createdVersion="8" refreshedVersion="8" minRefreshableVersion="3" recordCount="0" supportSubquery="1" supportAdvancedDrill="1" xr:uid="{68963E9E-A4B6-411B-A77D-E5E2767866CE}">
  <cacheSource type="external" connectionId="8"/>
  <cacheFields count="3">
    <cacheField name="[Products].[ProductName].[ProductName]" caption="ProductName" numFmtId="0" hierarchy="8" level="1">
      <sharedItems count="13">
        <s v="Action Figure"/>
        <s v="Blender"/>
        <s v="Board Game"/>
        <s v="Cookware Set"/>
        <s v="Fiction"/>
        <s v="Foundation"/>
        <s v="Headphones"/>
        <s v="Jeans"/>
        <s v="Lipstick"/>
        <s v="Perfume"/>
        <s v="Smartphone"/>
        <s v="T-Shirt"/>
        <s v="Vacuum Cleaner"/>
      </sharedItems>
    </cacheField>
    <cacheField name="[Measures].[Average Order Value]" caption="Average Order Value" numFmtId="0" hierarchy="41" level="32767"/>
    <cacheField name="[Products].[Category].[Category]" caption="Category" numFmtId="0" hierarchy="9" level="1">
      <sharedItems containsSemiMixedTypes="0" containsNonDate="0" containsString="0"/>
    </cacheField>
  </cacheFields>
  <cacheHierarchies count="48">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RegionID]" caption="RegionID" attribute="1" defaultMemberUniqueName="[Customers].[RegionID].[All]" allUniqueName="[Customers].[RegionID].[All]" dimensionUniqueName="[Customers]" displayFolder="" count="0" memberValueDatatype="130" unbalanced="0"/>
    <cacheHierarchy uniqueName="[Customers].[JoinDate]" caption="JoinDate" attribute="1" time="1" defaultMemberUniqueName="[Customers].[JoinDate].[All]" allUniqueName="[Customers].[JoinDate].[All]" dimensionUniqueName="[Customers]" displayFolder="" count="0" memberValueDatatype="7" unbalanced="0"/>
    <cacheHierarchy uniqueName="[Customers].[CustomerType]" caption="CustomerType" attribute="1" defaultMemberUniqueName="[Customers].[CustomerType].[All]" allUniqueName="[Customers].[CustomerType].[All]" dimensionUniqueName="[Customer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Supplier]" caption="Supplier" attribute="1" defaultMemberUniqueName="[Products].[Supplier].[All]" allUniqueName="[Products].[Supplier].[All]" dimensionUniqueName="[Products]" displayFolder="" count="0" memberValueDatatype="130" unbalanced="0"/>
    <cacheHierarchy uniqueName="[Products].[UnitCost]" caption="UnitCost" attribute="1" defaultMemberUniqueName="[Products].[UnitCost].[All]" allUniqueName="[Products].[Unit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Regions].[RegionID]" caption="RegionID" attribute="1" defaultMemberUniqueName="[Regions].[RegionID].[All]" allUniqueName="[Regions].[RegionID].[All]" dimensionUniqueName="[Regions]" displayFolder="" count="0" memberValueDatatype="130" unbalanced="0"/>
    <cacheHierarchy uniqueName="[Regions].[Country]" caption="Country" attribute="1" defaultMemberUniqueName="[Regions].[Country].[All]" allUniqueName="[Regions].[Country].[All]" dimensionUniqueName="[Regions]" displayFolder="" count="0" memberValueDatatype="130" unbalanced="0"/>
    <cacheHierarchy uniqueName="[Regions].[State/Province]" caption="State/Province" attribute="1" defaultMemberUniqueName="[Regions].[State/Province].[All]" allUniqueName="[Regions].[State/Province].[All]" dimensionUniqueName="[Regions]" displayFolder="" count="0" memberValueDatatype="130" unbalanced="0"/>
    <cacheHierarchy uniqueName="[Regions].[City]" caption="City" attribute="1" defaultMemberUniqueName="[Regions].[City].[All]" allUniqueName="[Regions].[City].[All]" dimensionUniqueName="[Regions]" displayFolder="" count="2" memberValueDatatype="130" unbalanced="0"/>
    <cacheHierarchy uniqueName="[Regions].[PostalCode]" caption="PostalCode" attribute="1" defaultMemberUniqueName="[Regions].[PostalCode].[All]" allUniqueName="[Regions].[PostalCode].[All]" dimensionUniqueName="[Regions]" displayFolder="" count="0" memberValueDatatype="130" unbalanced="0"/>
    <cacheHierarchy uniqueName="[Regions].[SalesManager]" caption="SalesManager" attribute="1" defaultMemberUniqueName="[Regions].[SalesManager].[All]" allUniqueName="[Regions].[SalesManager].[All]" dimensionUniqueName="[Regions]" displayFolder="" count="0" memberValueDatatype="130" unbalanced="0"/>
    <cacheHierarchy uniqueName="[Sales].[OrderID]" caption="OrderID" attribute="1" defaultMemberUniqueName="[Sales].[OrderID].[All]" allUniqueName="[Sales].[OrderID].[All]" dimensionUniqueName="[Sales]" displayFolder="" count="0" memberValueDatatype="20" unbalanced="0"/>
    <cacheHierarchy uniqueName="[Sales].[OrderDate]" caption="OrderDate" attribute="1" time="1" defaultMemberUniqueName="[Sales].[OrderDate].[All]" allUniqueName="[Sales].[OrderDate].[All]" dimensionUniqueName="[Sales]" displayFolder="" count="2" memberValueDatatype="7" unbalanced="0"/>
    <cacheHierarchy uniqueName="[Sales].[CustomerID]" caption="CustomerID" attribute="1" defaultMemberUniqueName="[Sales].[CustomerID].[All]" allUniqueName="[Sales].[CustomerID].[All]" dimensionUniqueName="[Sales]" displayFolder="" count="0" memberValueDatatype="130" unbalanced="0"/>
    <cacheHierarchy uniqueName="[Sales].[ProductID]" caption="ProductID" attribute="1" defaultMemberUniqueName="[Sales].[ProductID].[All]" allUniqueName="[Sales].[Product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GrossAmount]" caption="GrossAmount" attribute="1" defaultMemberUniqueName="[Sales].[GrossAmount].[All]" allUniqueName="[Sales].[GrossAmount].[All]" dimensionUniqueName="[Sales]" displayFolder="" count="0" memberValueDatatype="5" unbalanced="0"/>
    <cacheHierarchy uniqueName="[Sales].[DiscountRate]" caption="DiscountRate" attribute="1" defaultMemberUniqueName="[Sales].[DiscountRate].[All]" allUniqueName="[Sales].[DiscountRate].[All]" dimensionUniqueName="[Sales]" displayFolder="" count="0" memberValueDatatype="5" unbalanced="0"/>
    <cacheHierarchy uniqueName="[Sales].[Revenue]" caption="Revenue" attribute="1" defaultMemberUniqueName="[Sales].[Revenue].[All]" allUniqueName="[Sales].[Revenue].[All]" dimensionUniqueName="[Sales]" displayFolder="" count="0" memberValueDatatype="5" unbalanced="0"/>
    <cacheHierarchy uniqueName="[Sales].[UnitCost]" caption="UnitCost" attribute="1" defaultMemberUniqueName="[Sales].[UnitCost].[All]" allUniqueName="[Sales].[Unit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OrderDate (Year)]" caption="OrderDate (Year)" attribute="1" defaultMemberUniqueName="[Sales].[OrderDate (Year)].[All]" allUniqueName="[Sales].[OrderDate (Year)].[All]" dimensionUniqueName="[Sales]" displayFolder="" count="0" memberValueDatatype="130" unbalanced="0"/>
    <cacheHierarchy uniqueName="[Sales].[OrderDate (Quarter)]" caption="OrderDate (Quarter)" attribute="1" defaultMemberUniqueName="[Sales].[OrderDate (Quarter)].[All]" allUniqueName="[Sales].[OrderDate (Quarter)].[All]" dimensionUniqueName="[Sales]" displayFolder="" count="0" memberValueDatatype="130" unbalanced="0"/>
    <cacheHierarchy uniqueName="[Sales].[OrderDate (Month)]" caption="OrderDate (Month)" attribute="1" defaultMemberUniqueName="[Sales].[OrderDate (Month)].[All]" allUniqueName="[Sales].[OrderDate (Month)].[All]" dimensionUniqueName="[Sales]" displayFolder="" count="0" memberValueDatatype="130" unbalanced="0"/>
    <cacheHierarchy uniqueName="[Sales].[OrderDate (Month Index)]" caption="OrderDate (Month Index)" attribute="1" defaultMemberUniqueName="[Sales].[OrderDate (Month Index)].[All]" allUniqueName="[Sales].[OrderDate (Month Index)].[All]" dimensionUniqueName="[Sales]" displayFolder="" count="0" memberValueDatatype="20" unbalanced="0" hidden="1"/>
    <cacheHierarchy uniqueName="[Measures].[Total Profit]" caption="Total Profit" measure="1" displayFolder="" measureGroup="Sales" count="0"/>
    <cacheHierarchy uniqueName="[Measures].[Profit Margin]" caption="Profit Margin" measure="1" displayFolder="" measureGroup="Sales" count="0"/>
    <cacheHierarchy uniqueName="[Measures].[YTD Revenue]" caption="YTD Revenue" measure="1" displayFolder="" measureGroup="Sales" count="0"/>
    <cacheHierarchy uniqueName="[Measures].[Previous Year Revenue]" caption="Previous Year Revenue" measure="1" displayFolder="" measureGroup="Sales" count="0"/>
    <cacheHierarchy uniqueName="[Measures].[Total Revenue]" caption="Total Revenue" measure="1" displayFolder="" measureGroup="Sales" count="0"/>
    <cacheHierarchy uniqueName="[Measures].[YOY Growth]" caption="YOY Growth" measure="1" displayFolder="" measureGroup="Sales" count="0"/>
    <cacheHierarchy uniqueName="[Measures].[Total Orders]" caption="Total Orders" measure="1" displayFolder="" measureGroup="Sales" count="0"/>
    <cacheHierarchy uniqueName="[Measures].[Average Order Value]" caption="Average Order Value" measure="1" displayFolder="" measureGroup="Sales" count="0" oneField="1">
      <fieldsUsage count="1">
        <fieldUsage x="1"/>
      </fieldsUsage>
    </cacheHierarchy>
    <cacheHierarchy uniqueName="[Measures].[__XL_Count Sales]" caption="__XL_Count Sales" measure="1" displayFolder="" measureGroup="Sale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gions]" caption="__XL_Count Regions" measure="1" displayFolder="" measureGroup="Regions" count="0" hidden="1"/>
    <cacheHierarchy uniqueName="[Measures].[__No measures defined]" caption="__No measures defined" measure="1" displayFolder="" count="0" hidden="1"/>
    <cacheHierarchy uniqueName="[Measures].[Count of Category]" caption="Count of Category" measure="1" displayFolder="" measureGroup="Products" count="0" hidden="1">
      <extLst>
        <ext xmlns:x15="http://schemas.microsoft.com/office/spreadsheetml/2010/11/main" uri="{B97F6D7D-B522-45F9-BDA1-12C45D357490}">
          <x15:cacheHierarchy aggregatedColumn="9"/>
        </ext>
      </extLst>
    </cacheHierarchy>
  </cacheHierarchies>
  <kpis count="0"/>
  <dimensions count="5">
    <dimension name="Customers" uniqueName="[Customers]" caption="Customers"/>
    <dimension measure="1" name="Measures" uniqueName="[Measures]" caption="Measures"/>
    <dimension name="Products" uniqueName="[Products]" caption="Products"/>
    <dimension name="Regions" uniqueName="[Regions]" caption="Regions"/>
    <dimension name="Sales" uniqueName="[Sales]" caption="Sales"/>
  </dimensions>
  <measureGroups count="4">
    <measureGroup name="Customers" caption="Customers"/>
    <measureGroup name="Products" caption="Products"/>
    <measureGroup name="Regions" caption="Regions"/>
    <measureGroup name="Sales" caption="Sales"/>
  </measureGroups>
  <maps count="8">
    <map measureGroup="0" dimension="0"/>
    <map measureGroup="0" dimension="3"/>
    <map measureGroup="1" dimension="2"/>
    <map measureGroup="2" dimension="3"/>
    <map measureGroup="3" dimension="0"/>
    <map measureGroup="3" dimension="2"/>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Shamima Sultana" refreshedDate="46284.478175462966" createdVersion="8" refreshedVersion="8" minRefreshableVersion="3" recordCount="0" supportSubquery="1" supportAdvancedDrill="1" xr:uid="{9D5A9966-0803-440D-B2D5-FFCDB2B09E06}">
  <cacheSource type="external" connectionId="8"/>
  <cacheFields count="3">
    <cacheField name="[Sales].[OrderID].[OrderID]" caption="OrderID" numFmtId="0" hierarchy="19" level="1">
      <sharedItems containsSemiMixedTypes="0" containsString="0" containsNumber="1" containsInteger="1" minValue="1001" maxValue="1077" count="77">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sharedItems>
      <extLst>
        <ext xmlns:x15="http://schemas.microsoft.com/office/spreadsheetml/2010/11/main" uri="{4F2E5C28-24EA-4eb8-9CBF-B6C8F9C3D259}">
          <x15:cachedUniqueNames>
            <x15:cachedUniqueName index="0" name="[Sales].[OrderID].&amp;[1001]"/>
            <x15:cachedUniqueName index="1" name="[Sales].[OrderID].&amp;[1002]"/>
            <x15:cachedUniqueName index="2" name="[Sales].[OrderID].&amp;[1003]"/>
            <x15:cachedUniqueName index="3" name="[Sales].[OrderID].&amp;[1004]"/>
            <x15:cachedUniqueName index="4" name="[Sales].[OrderID].&amp;[1005]"/>
            <x15:cachedUniqueName index="5" name="[Sales].[OrderID].&amp;[1006]"/>
            <x15:cachedUniqueName index="6" name="[Sales].[OrderID].&amp;[1007]"/>
            <x15:cachedUniqueName index="7" name="[Sales].[OrderID].&amp;[1008]"/>
            <x15:cachedUniqueName index="8" name="[Sales].[OrderID].&amp;[1009]"/>
            <x15:cachedUniqueName index="9" name="[Sales].[OrderID].&amp;[1010]"/>
            <x15:cachedUniqueName index="10" name="[Sales].[OrderID].&amp;[1011]"/>
            <x15:cachedUniqueName index="11" name="[Sales].[OrderID].&amp;[1012]"/>
            <x15:cachedUniqueName index="12" name="[Sales].[OrderID].&amp;[1013]"/>
            <x15:cachedUniqueName index="13" name="[Sales].[OrderID].&amp;[1014]"/>
            <x15:cachedUniqueName index="14" name="[Sales].[OrderID].&amp;[1015]"/>
            <x15:cachedUniqueName index="15" name="[Sales].[OrderID].&amp;[1016]"/>
            <x15:cachedUniqueName index="16" name="[Sales].[OrderID].&amp;[1017]"/>
            <x15:cachedUniqueName index="17" name="[Sales].[OrderID].&amp;[1018]"/>
            <x15:cachedUniqueName index="18" name="[Sales].[OrderID].&amp;[1019]"/>
            <x15:cachedUniqueName index="19" name="[Sales].[OrderID].&amp;[1020]"/>
            <x15:cachedUniqueName index="20" name="[Sales].[OrderID].&amp;[1021]"/>
            <x15:cachedUniqueName index="21" name="[Sales].[OrderID].&amp;[1022]"/>
            <x15:cachedUniqueName index="22" name="[Sales].[OrderID].&amp;[1023]"/>
            <x15:cachedUniqueName index="23" name="[Sales].[OrderID].&amp;[1024]"/>
            <x15:cachedUniqueName index="24" name="[Sales].[OrderID].&amp;[1025]"/>
            <x15:cachedUniqueName index="25" name="[Sales].[OrderID].&amp;[1026]"/>
            <x15:cachedUniqueName index="26" name="[Sales].[OrderID].&amp;[1027]"/>
            <x15:cachedUniqueName index="27" name="[Sales].[OrderID].&amp;[1028]"/>
            <x15:cachedUniqueName index="28" name="[Sales].[OrderID].&amp;[1029]"/>
            <x15:cachedUniqueName index="29" name="[Sales].[OrderID].&amp;[1030]"/>
            <x15:cachedUniqueName index="30" name="[Sales].[OrderID].&amp;[1031]"/>
            <x15:cachedUniqueName index="31" name="[Sales].[OrderID].&amp;[1032]"/>
            <x15:cachedUniqueName index="32" name="[Sales].[OrderID].&amp;[1033]"/>
            <x15:cachedUniqueName index="33" name="[Sales].[OrderID].&amp;[1034]"/>
            <x15:cachedUniqueName index="34" name="[Sales].[OrderID].&amp;[1035]"/>
            <x15:cachedUniqueName index="35" name="[Sales].[OrderID].&amp;[1036]"/>
            <x15:cachedUniqueName index="36" name="[Sales].[OrderID].&amp;[1037]"/>
            <x15:cachedUniqueName index="37" name="[Sales].[OrderID].&amp;[1038]"/>
            <x15:cachedUniqueName index="38" name="[Sales].[OrderID].&amp;[1039]"/>
            <x15:cachedUniqueName index="39" name="[Sales].[OrderID].&amp;[1040]"/>
            <x15:cachedUniqueName index="40" name="[Sales].[OrderID].&amp;[1041]"/>
            <x15:cachedUniqueName index="41" name="[Sales].[OrderID].&amp;[1042]"/>
            <x15:cachedUniqueName index="42" name="[Sales].[OrderID].&amp;[1043]"/>
            <x15:cachedUniqueName index="43" name="[Sales].[OrderID].&amp;[1044]"/>
            <x15:cachedUniqueName index="44" name="[Sales].[OrderID].&amp;[1045]"/>
            <x15:cachedUniqueName index="45" name="[Sales].[OrderID].&amp;[1046]"/>
            <x15:cachedUniqueName index="46" name="[Sales].[OrderID].&amp;[1047]"/>
            <x15:cachedUniqueName index="47" name="[Sales].[OrderID].&amp;[1048]"/>
            <x15:cachedUniqueName index="48" name="[Sales].[OrderID].&amp;[1049]"/>
            <x15:cachedUniqueName index="49" name="[Sales].[OrderID].&amp;[1050]"/>
            <x15:cachedUniqueName index="50" name="[Sales].[OrderID].&amp;[1051]"/>
            <x15:cachedUniqueName index="51" name="[Sales].[OrderID].&amp;[1052]"/>
            <x15:cachedUniqueName index="52" name="[Sales].[OrderID].&amp;[1053]"/>
            <x15:cachedUniqueName index="53" name="[Sales].[OrderID].&amp;[1054]"/>
            <x15:cachedUniqueName index="54" name="[Sales].[OrderID].&amp;[1055]"/>
            <x15:cachedUniqueName index="55" name="[Sales].[OrderID].&amp;[1056]"/>
            <x15:cachedUniqueName index="56" name="[Sales].[OrderID].&amp;[1057]"/>
            <x15:cachedUniqueName index="57" name="[Sales].[OrderID].&amp;[1058]"/>
            <x15:cachedUniqueName index="58" name="[Sales].[OrderID].&amp;[1059]"/>
            <x15:cachedUniqueName index="59" name="[Sales].[OrderID].&amp;[1060]"/>
            <x15:cachedUniqueName index="60" name="[Sales].[OrderID].&amp;[1061]"/>
            <x15:cachedUniqueName index="61" name="[Sales].[OrderID].&amp;[1062]"/>
            <x15:cachedUniqueName index="62" name="[Sales].[OrderID].&amp;[1063]"/>
            <x15:cachedUniqueName index="63" name="[Sales].[OrderID].&amp;[1064]"/>
            <x15:cachedUniqueName index="64" name="[Sales].[OrderID].&amp;[1065]"/>
            <x15:cachedUniqueName index="65" name="[Sales].[OrderID].&amp;[1066]"/>
            <x15:cachedUniqueName index="66" name="[Sales].[OrderID].&amp;[1067]"/>
            <x15:cachedUniqueName index="67" name="[Sales].[OrderID].&amp;[1068]"/>
            <x15:cachedUniqueName index="68" name="[Sales].[OrderID].&amp;[1069]"/>
            <x15:cachedUniqueName index="69" name="[Sales].[OrderID].&amp;[1070]"/>
            <x15:cachedUniqueName index="70" name="[Sales].[OrderID].&amp;[1071]"/>
            <x15:cachedUniqueName index="71" name="[Sales].[OrderID].&amp;[1072]"/>
            <x15:cachedUniqueName index="72" name="[Sales].[OrderID].&amp;[1073]"/>
            <x15:cachedUniqueName index="73" name="[Sales].[OrderID].&amp;[1074]"/>
            <x15:cachedUniqueName index="74" name="[Sales].[OrderID].&amp;[1075]"/>
            <x15:cachedUniqueName index="75" name="[Sales].[OrderID].&amp;[1076]"/>
            <x15:cachedUniqueName index="76" name="[Sales].[OrderID].&amp;[1077]"/>
          </x15:cachedUniqueNames>
        </ext>
      </extLst>
    </cacheField>
    <cacheField name="[Measures].[Total Orders]" caption="Total Orders" numFmtId="0" hierarchy="40" level="32767"/>
    <cacheField name="[Products].[Category].[Category]" caption="Category" numFmtId="0" hierarchy="9" level="1">
      <sharedItems containsSemiMixedTypes="0" containsNonDate="0" containsString="0"/>
    </cacheField>
  </cacheFields>
  <cacheHierarchies count="48">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RegionID]" caption="RegionID" attribute="1" defaultMemberUniqueName="[Customers].[RegionID].[All]" allUniqueName="[Customers].[RegionID].[All]" dimensionUniqueName="[Customers]" displayFolder="" count="0" memberValueDatatype="130" unbalanced="0"/>
    <cacheHierarchy uniqueName="[Customers].[JoinDate]" caption="JoinDate" attribute="1" time="1" defaultMemberUniqueName="[Customers].[JoinDate].[All]" allUniqueName="[Customers].[JoinDate].[All]" dimensionUniqueName="[Customers]" displayFolder="" count="0" memberValueDatatype="7" unbalanced="0"/>
    <cacheHierarchy uniqueName="[Customers].[CustomerType]" caption="CustomerType" attribute="1" defaultMemberUniqueName="[Customers].[CustomerType].[All]" allUniqueName="[Customers].[CustomerType].[All]" dimensionUniqueName="[Customer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Supplier]" caption="Supplier" attribute="1" defaultMemberUniqueName="[Products].[Supplier].[All]" allUniqueName="[Products].[Supplier].[All]" dimensionUniqueName="[Products]" displayFolder="" count="0" memberValueDatatype="130" unbalanced="0"/>
    <cacheHierarchy uniqueName="[Products].[UnitCost]" caption="UnitCost" attribute="1" defaultMemberUniqueName="[Products].[UnitCost].[All]" allUniqueName="[Products].[Unit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Regions].[RegionID]" caption="RegionID" attribute="1" defaultMemberUniqueName="[Regions].[RegionID].[All]" allUniqueName="[Regions].[RegionID].[All]" dimensionUniqueName="[Regions]" displayFolder="" count="0" memberValueDatatype="130" unbalanced="0"/>
    <cacheHierarchy uniqueName="[Regions].[Country]" caption="Country" attribute="1" defaultMemberUniqueName="[Regions].[Country].[All]" allUniqueName="[Regions].[Country].[All]" dimensionUniqueName="[Regions]" displayFolder="" count="0" memberValueDatatype="130" unbalanced="0"/>
    <cacheHierarchy uniqueName="[Regions].[State/Province]" caption="State/Province" attribute="1" defaultMemberUniqueName="[Regions].[State/Province].[All]" allUniqueName="[Regions].[State/Province].[All]" dimensionUniqueName="[Regions]" displayFolder="" count="0" memberValueDatatype="130" unbalanced="0"/>
    <cacheHierarchy uniqueName="[Regions].[City]" caption="City" attribute="1" defaultMemberUniqueName="[Regions].[City].[All]" allUniqueName="[Regions].[City].[All]" dimensionUniqueName="[Regions]" displayFolder="" count="2" memberValueDatatype="130" unbalanced="0"/>
    <cacheHierarchy uniqueName="[Regions].[PostalCode]" caption="PostalCode" attribute="1" defaultMemberUniqueName="[Regions].[PostalCode].[All]" allUniqueName="[Regions].[PostalCode].[All]" dimensionUniqueName="[Regions]" displayFolder="" count="0" memberValueDatatype="130" unbalanced="0"/>
    <cacheHierarchy uniqueName="[Regions].[SalesManager]" caption="SalesManager" attribute="1" defaultMemberUniqueName="[Regions].[SalesManager].[All]" allUniqueName="[Regions].[SalesManager].[All]" dimensionUniqueName="[Regions]" displayFolder="" count="0" memberValueDatatype="130" unbalanced="0"/>
    <cacheHierarchy uniqueName="[Sales].[OrderID]" caption="OrderID" attribute="1" defaultMemberUniqueName="[Sales].[OrderID].[All]" allUniqueName="[Sales].[OrderID].[All]" dimensionUniqueName="[Sales]" displayFolder="" count="2" memberValueDatatype="20" unbalanced="0">
      <fieldsUsage count="2">
        <fieldUsage x="-1"/>
        <fieldUsage x="0"/>
      </fieldsUsage>
    </cacheHierarchy>
    <cacheHierarchy uniqueName="[Sales].[OrderDate]" caption="OrderDate" attribute="1" time="1" defaultMemberUniqueName="[Sales].[OrderDate].[All]" allUniqueName="[Sales].[OrderDate].[All]" dimensionUniqueName="[Sales]" displayFolder="" count="2" memberValueDatatype="7" unbalanced="0"/>
    <cacheHierarchy uniqueName="[Sales].[CustomerID]" caption="CustomerID" attribute="1" defaultMemberUniqueName="[Sales].[CustomerID].[All]" allUniqueName="[Sales].[CustomerID].[All]" dimensionUniqueName="[Sales]" displayFolder="" count="0" memberValueDatatype="130" unbalanced="0"/>
    <cacheHierarchy uniqueName="[Sales].[ProductID]" caption="ProductID" attribute="1" defaultMemberUniqueName="[Sales].[ProductID].[All]" allUniqueName="[Sales].[Product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GrossAmount]" caption="GrossAmount" attribute="1" defaultMemberUniqueName="[Sales].[GrossAmount].[All]" allUniqueName="[Sales].[GrossAmount].[All]" dimensionUniqueName="[Sales]" displayFolder="" count="0" memberValueDatatype="5" unbalanced="0"/>
    <cacheHierarchy uniqueName="[Sales].[DiscountRate]" caption="DiscountRate" attribute="1" defaultMemberUniqueName="[Sales].[DiscountRate].[All]" allUniqueName="[Sales].[DiscountRate].[All]" dimensionUniqueName="[Sales]" displayFolder="" count="0" memberValueDatatype="5" unbalanced="0"/>
    <cacheHierarchy uniqueName="[Sales].[Revenue]" caption="Revenue" attribute="1" defaultMemberUniqueName="[Sales].[Revenue].[All]" allUniqueName="[Sales].[Revenue].[All]" dimensionUniqueName="[Sales]" displayFolder="" count="0" memberValueDatatype="5" unbalanced="0"/>
    <cacheHierarchy uniqueName="[Sales].[UnitCost]" caption="UnitCost" attribute="1" defaultMemberUniqueName="[Sales].[UnitCost].[All]" allUniqueName="[Sales].[Unit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OrderDate (Year)]" caption="OrderDate (Year)" attribute="1" defaultMemberUniqueName="[Sales].[OrderDate (Year)].[All]" allUniqueName="[Sales].[OrderDate (Year)].[All]" dimensionUniqueName="[Sales]" displayFolder="" count="0" memberValueDatatype="130" unbalanced="0"/>
    <cacheHierarchy uniqueName="[Sales].[OrderDate (Quarter)]" caption="OrderDate (Quarter)" attribute="1" defaultMemberUniqueName="[Sales].[OrderDate (Quarter)].[All]" allUniqueName="[Sales].[OrderDate (Quarter)].[All]" dimensionUniqueName="[Sales]" displayFolder="" count="0" memberValueDatatype="130" unbalanced="0"/>
    <cacheHierarchy uniqueName="[Sales].[OrderDate (Month)]" caption="OrderDate (Month)" attribute="1" defaultMemberUniqueName="[Sales].[OrderDate (Month)].[All]" allUniqueName="[Sales].[OrderDate (Month)].[All]" dimensionUniqueName="[Sales]" displayFolder="" count="0" memberValueDatatype="130" unbalanced="0"/>
    <cacheHierarchy uniqueName="[Sales].[OrderDate (Month Index)]" caption="OrderDate (Month Index)" attribute="1" defaultMemberUniqueName="[Sales].[OrderDate (Month Index)].[All]" allUniqueName="[Sales].[OrderDate (Month Index)].[All]" dimensionUniqueName="[Sales]" displayFolder="" count="0" memberValueDatatype="20" unbalanced="0" hidden="1"/>
    <cacheHierarchy uniqueName="[Measures].[Total Profit]" caption="Total Profit" measure="1" displayFolder="" measureGroup="Sales" count="0"/>
    <cacheHierarchy uniqueName="[Measures].[Profit Margin]" caption="Profit Margin" measure="1" displayFolder="" measureGroup="Sales" count="0"/>
    <cacheHierarchy uniqueName="[Measures].[YTD Revenue]" caption="YTD Revenue" measure="1" displayFolder="" measureGroup="Sales" count="0"/>
    <cacheHierarchy uniqueName="[Measures].[Previous Year Revenue]" caption="Previous Year Revenue" measure="1" displayFolder="" measureGroup="Sales" count="0"/>
    <cacheHierarchy uniqueName="[Measures].[Total Revenue]" caption="Total Revenue" measure="1" displayFolder="" measureGroup="Sales" count="0"/>
    <cacheHierarchy uniqueName="[Measures].[YOY Growth]" caption="YOY Growth" measure="1" displayFolder="" measureGroup="Sales" count="0"/>
    <cacheHierarchy uniqueName="[Measures].[Total Orders]" caption="Total Orders" measure="1" displayFolder="" measureGroup="Sales" count="0" oneField="1">
      <fieldsUsage count="1">
        <fieldUsage x="1"/>
      </fieldsUsage>
    </cacheHierarchy>
    <cacheHierarchy uniqueName="[Measures].[Average Order Value]" caption="Average Order Value" measure="1" displayFolder="" measureGroup="Sales" count="0"/>
    <cacheHierarchy uniqueName="[Measures].[__XL_Count Sales]" caption="__XL_Count Sales" measure="1" displayFolder="" measureGroup="Sale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gions]" caption="__XL_Count Regions" measure="1" displayFolder="" measureGroup="Regions" count="0" hidden="1"/>
    <cacheHierarchy uniqueName="[Measures].[__No measures defined]" caption="__No measures defined" measure="1" displayFolder="" count="0" hidden="1"/>
    <cacheHierarchy uniqueName="[Measures].[Count of Category]" caption="Count of Category" measure="1" displayFolder="" measureGroup="Products" count="0" hidden="1">
      <extLst>
        <ext xmlns:x15="http://schemas.microsoft.com/office/spreadsheetml/2010/11/main" uri="{B97F6D7D-B522-45F9-BDA1-12C45D357490}">
          <x15:cacheHierarchy aggregatedColumn="9"/>
        </ext>
      </extLst>
    </cacheHierarchy>
  </cacheHierarchies>
  <kpis count="0"/>
  <dimensions count="5">
    <dimension name="Customers" uniqueName="[Customers]" caption="Customers"/>
    <dimension measure="1" name="Measures" uniqueName="[Measures]" caption="Measures"/>
    <dimension name="Products" uniqueName="[Products]" caption="Products"/>
    <dimension name="Regions" uniqueName="[Regions]" caption="Regions"/>
    <dimension name="Sales" uniqueName="[Sales]" caption="Sales"/>
  </dimensions>
  <measureGroups count="4">
    <measureGroup name="Customers" caption="Customers"/>
    <measureGroup name="Products" caption="Products"/>
    <measureGroup name="Regions" caption="Regions"/>
    <measureGroup name="Sales" caption="Sales"/>
  </measureGroups>
  <maps count="8">
    <map measureGroup="0" dimension="0"/>
    <map measureGroup="0" dimension="3"/>
    <map measureGroup="1" dimension="2"/>
    <map measureGroup="2" dimension="3"/>
    <map measureGroup="3" dimension="0"/>
    <map measureGroup="3" dimension="2"/>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Shamima Sultana" refreshedDate="46284.478176157405" createdVersion="5" refreshedVersion="8" minRefreshableVersion="3" recordCount="0" supportSubquery="1" supportAdvancedDrill="1" xr:uid="{A844117B-DE52-486C-B0DF-C8B389A1FB74}">
  <cacheSource type="external" connectionId="8"/>
  <cacheFields count="3">
    <cacheField name="[Products].[ProductName].[ProductName]" caption="ProductName" numFmtId="0" hierarchy="8" level="1">
      <sharedItems count="10">
        <s v="Action Figure"/>
        <s v="Blender"/>
        <s v="Cookware Set"/>
        <s v="Fiction"/>
        <s v="Headphones"/>
        <s v="Jeans"/>
        <s v="Lipstick"/>
        <s v="Smartphone"/>
        <s v="T-Shirt"/>
        <s v="Vacuum Cleaner"/>
      </sharedItems>
    </cacheField>
    <cacheField name="[Measures].[Total Revenue]" caption="Total Revenue" numFmtId="0" hierarchy="38" level="32767"/>
    <cacheField name="[Products].[Category].[Category]" caption="Category" numFmtId="0" hierarchy="9" level="1">
      <sharedItems containsSemiMixedTypes="0" containsNonDate="0" containsString="0"/>
    </cacheField>
  </cacheFields>
  <cacheHierarchies count="48">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RegionID]" caption="RegionID" attribute="1" defaultMemberUniqueName="[Customers].[RegionID].[All]" allUniqueName="[Customers].[RegionID].[All]" dimensionUniqueName="[Customers]" displayFolder="" count="0" memberValueDatatype="130" unbalanced="0"/>
    <cacheHierarchy uniqueName="[Customers].[JoinDate]" caption="JoinDate" attribute="1" time="1" defaultMemberUniqueName="[Customers].[JoinDate].[All]" allUniqueName="[Customers].[JoinDate].[All]" dimensionUniqueName="[Customers]" displayFolder="" count="0" memberValueDatatype="7" unbalanced="0"/>
    <cacheHierarchy uniqueName="[Customers].[CustomerType]" caption="CustomerType" attribute="1" defaultMemberUniqueName="[Customers].[CustomerType].[All]" allUniqueName="[Customers].[CustomerType].[All]" dimensionUniqueName="[Customer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Supplier]" caption="Supplier" attribute="1" defaultMemberUniqueName="[Products].[Supplier].[All]" allUniqueName="[Products].[Supplier].[All]" dimensionUniqueName="[Products]" displayFolder="" count="0" memberValueDatatype="130" unbalanced="0"/>
    <cacheHierarchy uniqueName="[Products].[UnitCost]" caption="UnitCost" attribute="1" defaultMemberUniqueName="[Products].[UnitCost].[All]" allUniqueName="[Products].[Unit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Regions].[RegionID]" caption="RegionID" attribute="1" defaultMemberUniqueName="[Regions].[RegionID].[All]" allUniqueName="[Regions].[RegionID].[All]" dimensionUniqueName="[Regions]" displayFolder="" count="0" memberValueDatatype="130" unbalanced="0"/>
    <cacheHierarchy uniqueName="[Regions].[Country]" caption="Country" attribute="1" defaultMemberUniqueName="[Regions].[Country].[All]" allUniqueName="[Regions].[Country].[All]" dimensionUniqueName="[Regions]" displayFolder="" count="0" memberValueDatatype="130" unbalanced="0"/>
    <cacheHierarchy uniqueName="[Regions].[State/Province]" caption="State/Province" attribute="1" defaultMemberUniqueName="[Regions].[State/Province].[All]" allUniqueName="[Regions].[State/Province].[All]" dimensionUniqueName="[Regions]" displayFolder="" count="0" memberValueDatatype="130" unbalanced="0"/>
    <cacheHierarchy uniqueName="[Regions].[City]" caption="City" attribute="1" defaultMemberUniqueName="[Regions].[City].[All]" allUniqueName="[Regions].[City].[All]" dimensionUniqueName="[Regions]" displayFolder="" count="2" memberValueDatatype="130" unbalanced="0"/>
    <cacheHierarchy uniqueName="[Regions].[PostalCode]" caption="PostalCode" attribute="1" defaultMemberUniqueName="[Regions].[PostalCode].[All]" allUniqueName="[Regions].[PostalCode].[All]" dimensionUniqueName="[Regions]" displayFolder="" count="0" memberValueDatatype="130" unbalanced="0"/>
    <cacheHierarchy uniqueName="[Regions].[SalesManager]" caption="SalesManager" attribute="1" defaultMemberUniqueName="[Regions].[SalesManager].[All]" allUniqueName="[Regions].[SalesManager].[All]" dimensionUniqueName="[Regions]" displayFolder="" count="0" memberValueDatatype="130" unbalanced="0"/>
    <cacheHierarchy uniqueName="[Sales].[OrderID]" caption="OrderID" attribute="1" defaultMemberUniqueName="[Sales].[OrderID].[All]" allUniqueName="[Sales].[OrderID].[All]" dimensionUniqueName="[Sales]" displayFolder="" count="0" memberValueDatatype="20" unbalanced="0"/>
    <cacheHierarchy uniqueName="[Sales].[OrderDate]" caption="OrderDate" attribute="1" time="1" defaultMemberUniqueName="[Sales].[OrderDate].[All]" allUniqueName="[Sales].[OrderDate].[All]" dimensionUniqueName="[Sales]" displayFolder="" count="2" memberValueDatatype="7" unbalanced="0"/>
    <cacheHierarchy uniqueName="[Sales].[CustomerID]" caption="CustomerID" attribute="1" defaultMemberUniqueName="[Sales].[CustomerID].[All]" allUniqueName="[Sales].[CustomerID].[All]" dimensionUniqueName="[Sales]" displayFolder="" count="0" memberValueDatatype="130" unbalanced="0"/>
    <cacheHierarchy uniqueName="[Sales].[ProductID]" caption="ProductID" attribute="1" defaultMemberUniqueName="[Sales].[ProductID].[All]" allUniqueName="[Sales].[Product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GrossAmount]" caption="GrossAmount" attribute="1" defaultMemberUniqueName="[Sales].[GrossAmount].[All]" allUniqueName="[Sales].[GrossAmount].[All]" dimensionUniqueName="[Sales]" displayFolder="" count="0" memberValueDatatype="5" unbalanced="0"/>
    <cacheHierarchy uniqueName="[Sales].[DiscountRate]" caption="DiscountRate" attribute="1" defaultMemberUniqueName="[Sales].[DiscountRate].[All]" allUniqueName="[Sales].[DiscountRate].[All]" dimensionUniqueName="[Sales]" displayFolder="" count="0" memberValueDatatype="5" unbalanced="0"/>
    <cacheHierarchy uniqueName="[Sales].[Revenue]" caption="Revenue" attribute="1" defaultMemberUniqueName="[Sales].[Revenue].[All]" allUniqueName="[Sales].[Revenue].[All]" dimensionUniqueName="[Sales]" displayFolder="" count="0" memberValueDatatype="5" unbalanced="0"/>
    <cacheHierarchy uniqueName="[Sales].[UnitCost]" caption="UnitCost" attribute="1" defaultMemberUniqueName="[Sales].[UnitCost].[All]" allUniqueName="[Sales].[Unit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OrderDate (Year)]" caption="OrderDate (Year)" attribute="1" defaultMemberUniqueName="[Sales].[OrderDate (Year)].[All]" allUniqueName="[Sales].[OrderDate (Year)].[All]" dimensionUniqueName="[Sales]" displayFolder="" count="0" memberValueDatatype="130" unbalanced="0"/>
    <cacheHierarchy uniqueName="[Sales].[OrderDate (Quarter)]" caption="OrderDate (Quarter)" attribute="1" defaultMemberUniqueName="[Sales].[OrderDate (Quarter)].[All]" allUniqueName="[Sales].[OrderDate (Quarter)].[All]" dimensionUniqueName="[Sales]" displayFolder="" count="0" memberValueDatatype="130" unbalanced="0"/>
    <cacheHierarchy uniqueName="[Sales].[OrderDate (Month)]" caption="OrderDate (Month)" attribute="1" defaultMemberUniqueName="[Sales].[OrderDate (Month)].[All]" allUniqueName="[Sales].[OrderDate (Month)].[All]" dimensionUniqueName="[Sales]" displayFolder="" count="0" memberValueDatatype="130" unbalanced="0"/>
    <cacheHierarchy uniqueName="[Sales].[OrderDate (Month Index)]" caption="OrderDate (Month Index)" attribute="1" defaultMemberUniqueName="[Sales].[OrderDate (Month Index)].[All]" allUniqueName="[Sales].[OrderDate (Month Index)].[All]" dimensionUniqueName="[Sales]" displayFolder="" count="0" memberValueDatatype="20" unbalanced="0" hidden="1"/>
    <cacheHierarchy uniqueName="[Measures].[Total Profit]" caption="Total Profit" measure="1" displayFolder="" measureGroup="Sales" count="0"/>
    <cacheHierarchy uniqueName="[Measures].[Profit Margin]" caption="Profit Margin" measure="1" displayFolder="" measureGroup="Sales" count="0"/>
    <cacheHierarchy uniqueName="[Measures].[YTD Revenue]" caption="YTD Revenue" measure="1" displayFolder="" measureGroup="Sales" count="0"/>
    <cacheHierarchy uniqueName="[Measures].[Previous Year Revenue]" caption="Previous Year Revenue" measure="1" displayFolder="" measureGroup="Sales" count="0"/>
    <cacheHierarchy uniqueName="[Measures].[Total Revenue]" caption="Total Revenue" measure="1" displayFolder="" measureGroup="Sales" count="0" oneField="1">
      <fieldsUsage count="1">
        <fieldUsage x="1"/>
      </fieldsUsage>
    </cacheHierarchy>
    <cacheHierarchy uniqueName="[Measures].[YOY Growth]" caption="YOY Growth" measure="1" displayFolder="" measureGroup="Sales" count="0"/>
    <cacheHierarchy uniqueName="[Measures].[Total Orders]" caption="Total Orders" measure="1" displayFolder="" measureGroup="Sales" count="0"/>
    <cacheHierarchy uniqueName="[Measures].[Average Order Value]" caption="Average Order Value" measure="1" displayFolder="" measureGroup="Sales" count="0"/>
    <cacheHierarchy uniqueName="[Measures].[__XL_Count Sales]" caption="__XL_Count Sales" measure="1" displayFolder="" measureGroup="Sale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gions]" caption="__XL_Count Regions" measure="1" displayFolder="" measureGroup="Regions" count="0" hidden="1"/>
    <cacheHierarchy uniqueName="[Measures].[__No measures defined]" caption="__No measures defined" measure="1" displayFolder="" count="0" hidden="1"/>
    <cacheHierarchy uniqueName="[Measures].[Count of Category]" caption="Count of Category" measure="1" displayFolder="" measureGroup="Products" count="0" hidden="1">
      <extLst>
        <ext xmlns:x15="http://schemas.microsoft.com/office/spreadsheetml/2010/11/main" uri="{B97F6D7D-B522-45F9-BDA1-12C45D357490}">
          <x15:cacheHierarchy aggregatedColumn="9"/>
        </ext>
      </extLst>
    </cacheHierarchy>
  </cacheHierarchies>
  <kpis count="0"/>
  <dimensions count="5">
    <dimension name="Customers" uniqueName="[Customers]" caption="Customers"/>
    <dimension measure="1" name="Measures" uniqueName="[Measures]" caption="Measures"/>
    <dimension name="Products" uniqueName="[Products]" caption="Products"/>
    <dimension name="Regions" uniqueName="[Regions]" caption="Regions"/>
    <dimension name="Sales" uniqueName="[Sales]" caption="Sales"/>
  </dimensions>
  <measureGroups count="4">
    <measureGroup name="Customers" caption="Customers"/>
    <measureGroup name="Products" caption="Products"/>
    <measureGroup name="Regions" caption="Regions"/>
    <measureGroup name="Sales" caption="Sales"/>
  </measureGroups>
  <maps count="8">
    <map measureGroup="0" dimension="0"/>
    <map measureGroup="0" dimension="3"/>
    <map measureGroup="1" dimension="2"/>
    <map measureGroup="2" dimension="3"/>
    <map measureGroup="3" dimension="0"/>
    <map measureGroup="3" dimension="2"/>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Shamima Sultana" refreshedDate="46284.47817696759" createdVersion="5" refreshedVersion="8" minRefreshableVersion="3" recordCount="0" supportSubquery="1" supportAdvancedDrill="1" xr:uid="{18E9E4DB-3FF3-4C4A-B43A-FD43B21ACFA5}">
  <cacheSource type="external" connectionId="8"/>
  <cacheFields count="4">
    <cacheField name="[Measures].[Total Revenue]" caption="Total Revenue" numFmtId="0" hierarchy="38" level="32767"/>
    <cacheField name="[Measures].[Total Profit]" caption="Total Profit" numFmtId="0" hierarchy="34" level="32767"/>
    <cacheField name="[Products].[Category].[Category]" caption="Category" numFmtId="0" hierarchy="9" level="1">
      <sharedItems count="6">
        <s v="Beauty"/>
        <s v="Books"/>
        <s v="Clothing"/>
        <s v="Electronics"/>
        <s v="Home &amp; Kitchen"/>
        <s v="Toys"/>
      </sharedItems>
    </cacheField>
    <cacheField name="[Measures].[Profit Margin]" caption="Profit Margin" numFmtId="0" hierarchy="35" level="32767"/>
  </cacheFields>
  <cacheHierarchies count="48">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RegionID]" caption="RegionID" attribute="1" defaultMemberUniqueName="[Customers].[RegionID].[All]" allUniqueName="[Customers].[RegionID].[All]" dimensionUniqueName="[Customers]" displayFolder="" count="0" memberValueDatatype="130" unbalanced="0"/>
    <cacheHierarchy uniqueName="[Customers].[JoinDate]" caption="JoinDate" attribute="1" time="1" defaultMemberUniqueName="[Customers].[JoinDate].[All]" allUniqueName="[Customers].[JoinDate].[All]" dimensionUniqueName="[Customers]" displayFolder="" count="0" memberValueDatatype="7" unbalanced="0"/>
    <cacheHierarchy uniqueName="[Customers].[CustomerType]" caption="CustomerType" attribute="1" defaultMemberUniqueName="[Customers].[CustomerType].[All]" allUniqueName="[Customers].[CustomerType].[All]" dimensionUniqueName="[Customer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Supplier]" caption="Supplier" attribute="1" defaultMemberUniqueName="[Products].[Supplier].[All]" allUniqueName="[Products].[Supplier].[All]" dimensionUniqueName="[Products]" displayFolder="" count="0" memberValueDatatype="130" unbalanced="0"/>
    <cacheHierarchy uniqueName="[Products].[UnitCost]" caption="UnitCost" attribute="1" defaultMemberUniqueName="[Products].[UnitCost].[All]" allUniqueName="[Products].[Unit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Regions].[RegionID]" caption="RegionID" attribute="1" defaultMemberUniqueName="[Regions].[RegionID].[All]" allUniqueName="[Regions].[RegionID].[All]" dimensionUniqueName="[Regions]" displayFolder="" count="0" memberValueDatatype="130" unbalanced="0"/>
    <cacheHierarchy uniqueName="[Regions].[Country]" caption="Country" attribute="1" defaultMemberUniqueName="[Regions].[Country].[All]" allUniqueName="[Regions].[Country].[All]" dimensionUniqueName="[Regions]" displayFolder="" count="0" memberValueDatatype="130" unbalanced="0"/>
    <cacheHierarchy uniqueName="[Regions].[State/Province]" caption="State/Province" attribute="1" defaultMemberUniqueName="[Regions].[State/Province].[All]" allUniqueName="[Regions].[State/Province].[All]" dimensionUniqueName="[Regions]" displayFolder="" count="0" memberValueDatatype="130" unbalanced="0"/>
    <cacheHierarchy uniqueName="[Regions].[City]" caption="City" attribute="1" defaultMemberUniqueName="[Regions].[City].[All]" allUniqueName="[Regions].[City].[All]" dimensionUniqueName="[Regions]" displayFolder="" count="2" memberValueDatatype="130" unbalanced="0"/>
    <cacheHierarchy uniqueName="[Regions].[PostalCode]" caption="PostalCode" attribute="1" defaultMemberUniqueName="[Regions].[PostalCode].[All]" allUniqueName="[Regions].[PostalCode].[All]" dimensionUniqueName="[Regions]" displayFolder="" count="0" memberValueDatatype="130" unbalanced="0"/>
    <cacheHierarchy uniqueName="[Regions].[SalesManager]" caption="SalesManager" attribute="1" defaultMemberUniqueName="[Regions].[SalesManager].[All]" allUniqueName="[Regions].[SalesManager].[All]" dimensionUniqueName="[Regions]" displayFolder="" count="0" memberValueDatatype="130" unbalanced="0"/>
    <cacheHierarchy uniqueName="[Sales].[OrderID]" caption="OrderID" attribute="1" defaultMemberUniqueName="[Sales].[OrderID].[All]" allUniqueName="[Sales].[OrderID].[All]" dimensionUniqueName="[Sales]" displayFolder="" count="0" memberValueDatatype="20" unbalanced="0"/>
    <cacheHierarchy uniqueName="[Sales].[OrderDate]" caption="OrderDate" attribute="1" time="1" defaultMemberUniqueName="[Sales].[OrderDate].[All]" allUniqueName="[Sales].[OrderDate].[All]" dimensionUniqueName="[Sales]" displayFolder="" count="2" memberValueDatatype="7" unbalanced="0"/>
    <cacheHierarchy uniqueName="[Sales].[CustomerID]" caption="CustomerID" attribute="1" defaultMemberUniqueName="[Sales].[CustomerID].[All]" allUniqueName="[Sales].[CustomerID].[All]" dimensionUniqueName="[Sales]" displayFolder="" count="0" memberValueDatatype="130" unbalanced="0"/>
    <cacheHierarchy uniqueName="[Sales].[ProductID]" caption="ProductID" attribute="1" defaultMemberUniqueName="[Sales].[ProductID].[All]" allUniqueName="[Sales].[Product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GrossAmount]" caption="GrossAmount" attribute="1" defaultMemberUniqueName="[Sales].[GrossAmount].[All]" allUniqueName="[Sales].[GrossAmount].[All]" dimensionUniqueName="[Sales]" displayFolder="" count="0" memberValueDatatype="5" unbalanced="0"/>
    <cacheHierarchy uniqueName="[Sales].[DiscountRate]" caption="DiscountRate" attribute="1" defaultMemberUniqueName="[Sales].[DiscountRate].[All]" allUniqueName="[Sales].[DiscountRate].[All]" dimensionUniqueName="[Sales]" displayFolder="" count="0" memberValueDatatype="5" unbalanced="0"/>
    <cacheHierarchy uniqueName="[Sales].[Revenue]" caption="Revenue" attribute="1" defaultMemberUniqueName="[Sales].[Revenue].[All]" allUniqueName="[Sales].[Revenue].[All]" dimensionUniqueName="[Sales]" displayFolder="" count="0" memberValueDatatype="5" unbalanced="0"/>
    <cacheHierarchy uniqueName="[Sales].[UnitCost]" caption="UnitCost" attribute="1" defaultMemberUniqueName="[Sales].[UnitCost].[All]" allUniqueName="[Sales].[Unit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OrderDate (Year)]" caption="OrderDate (Year)" attribute="1" defaultMemberUniqueName="[Sales].[OrderDate (Year)].[All]" allUniqueName="[Sales].[OrderDate (Year)].[All]" dimensionUniqueName="[Sales]" displayFolder="" count="0" memberValueDatatype="130" unbalanced="0"/>
    <cacheHierarchy uniqueName="[Sales].[OrderDate (Quarter)]" caption="OrderDate (Quarter)" attribute="1" defaultMemberUniqueName="[Sales].[OrderDate (Quarter)].[All]" allUniqueName="[Sales].[OrderDate (Quarter)].[All]" dimensionUniqueName="[Sales]" displayFolder="" count="0" memberValueDatatype="130" unbalanced="0"/>
    <cacheHierarchy uniqueName="[Sales].[OrderDate (Month)]" caption="OrderDate (Month)" attribute="1" defaultMemberUniqueName="[Sales].[OrderDate (Month)].[All]" allUniqueName="[Sales].[OrderDate (Month)].[All]" dimensionUniqueName="[Sales]" displayFolder="" count="0" memberValueDatatype="130" unbalanced="0"/>
    <cacheHierarchy uniqueName="[Sales].[OrderDate (Month Index)]" caption="OrderDate (Month Index)" attribute="1" defaultMemberUniqueName="[Sales].[OrderDate (Month Index)].[All]" allUniqueName="[Sales].[OrderDate (Month Index)].[All]" dimensionUniqueName="[Sales]" displayFolder="" count="0" memberValueDatatype="20" unbalanced="0" hidden="1"/>
    <cacheHierarchy uniqueName="[Measures].[Total Profit]" caption="Total Profit" measure="1" displayFolder="" measureGroup="Sales" count="0" oneField="1">
      <fieldsUsage count="1">
        <fieldUsage x="1"/>
      </fieldsUsage>
    </cacheHierarchy>
    <cacheHierarchy uniqueName="[Measures].[Profit Margin]" caption="Profit Margin" measure="1" displayFolder="" measureGroup="Sales" count="0" oneField="1">
      <fieldsUsage count="1">
        <fieldUsage x="3"/>
      </fieldsUsage>
    </cacheHierarchy>
    <cacheHierarchy uniqueName="[Measures].[YTD Revenue]" caption="YTD Revenue" measure="1" displayFolder="" measureGroup="Sales" count="0"/>
    <cacheHierarchy uniqueName="[Measures].[Previous Year Revenue]" caption="Previous Year Revenue" measure="1" displayFolder="" measureGroup="Sales" count="0"/>
    <cacheHierarchy uniqueName="[Measures].[Total Revenue]" caption="Total Revenue" measure="1" displayFolder="" measureGroup="Sales" count="0" oneField="1">
      <fieldsUsage count="1">
        <fieldUsage x="0"/>
      </fieldsUsage>
    </cacheHierarchy>
    <cacheHierarchy uniqueName="[Measures].[YOY Growth]" caption="YOY Growth" measure="1" displayFolder="" measureGroup="Sales" count="0"/>
    <cacheHierarchy uniqueName="[Measures].[Total Orders]" caption="Total Orders" measure="1" displayFolder="" measureGroup="Sales" count="0"/>
    <cacheHierarchy uniqueName="[Measures].[Average Order Value]" caption="Average Order Value" measure="1" displayFolder="" measureGroup="Sales" count="0"/>
    <cacheHierarchy uniqueName="[Measures].[__XL_Count Sales]" caption="__XL_Count Sales" measure="1" displayFolder="" measureGroup="Sale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gions]" caption="__XL_Count Regions" measure="1" displayFolder="" measureGroup="Regions" count="0" hidden="1"/>
    <cacheHierarchy uniqueName="[Measures].[__No measures defined]" caption="__No measures defined" measure="1" displayFolder="" count="0" hidden="1"/>
    <cacheHierarchy uniqueName="[Measures].[Count of Category]" caption="Count of Category" measure="1" displayFolder="" measureGroup="Products" count="0" hidden="1">
      <extLst>
        <ext xmlns:x15="http://schemas.microsoft.com/office/spreadsheetml/2010/11/main" uri="{B97F6D7D-B522-45F9-BDA1-12C45D357490}">
          <x15:cacheHierarchy aggregatedColumn="9"/>
        </ext>
      </extLst>
    </cacheHierarchy>
  </cacheHierarchies>
  <kpis count="0"/>
  <dimensions count="5">
    <dimension name="Customers" uniqueName="[Customers]" caption="Customers"/>
    <dimension measure="1" name="Measures" uniqueName="[Measures]" caption="Measures"/>
    <dimension name="Products" uniqueName="[Products]" caption="Products"/>
    <dimension name="Regions" uniqueName="[Regions]" caption="Regions"/>
    <dimension name="Sales" uniqueName="[Sales]" caption="Sales"/>
  </dimensions>
  <measureGroups count="4">
    <measureGroup name="Customers" caption="Customers"/>
    <measureGroup name="Products" caption="Products"/>
    <measureGroup name="Regions" caption="Regions"/>
    <measureGroup name="Sales" caption="Sales"/>
  </measureGroups>
  <maps count="8">
    <map measureGroup="0" dimension="0"/>
    <map measureGroup="0" dimension="3"/>
    <map measureGroup="1" dimension="2"/>
    <map measureGroup="2" dimension="3"/>
    <map measureGroup="3" dimension="0"/>
    <map measureGroup="3" dimension="2"/>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Shamima Sultana" refreshedDate="46284.478177777775" createdVersion="5" refreshedVersion="8" minRefreshableVersion="3" recordCount="0" supportSubquery="1" supportAdvancedDrill="1" xr:uid="{46CD91E4-D0AA-45FF-B76F-3740DBC5A155}">
  <cacheSource type="external" connectionId="8"/>
  <cacheFields count="3">
    <cacheField name="[Sales].[OrderDate (Year)].[OrderDate (Year)]" caption="OrderDate (Year)" numFmtId="0" hierarchy="30" level="1">
      <sharedItems count="3">
        <s v="2022"/>
        <s v="2023"/>
        <s v="2024"/>
      </sharedItems>
    </cacheField>
    <cacheField name="[Measures].[YTD Revenue]" caption="YTD Revenue" numFmtId="0" hierarchy="36" level="32767"/>
    <cacheField name="[Products].[Category].[Category]" caption="Category" numFmtId="0" hierarchy="9" level="1">
      <sharedItems containsSemiMixedTypes="0" containsNonDate="0" containsString="0"/>
    </cacheField>
  </cacheFields>
  <cacheHierarchies count="48">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RegionID]" caption="RegionID" attribute="1" defaultMemberUniqueName="[Customers].[RegionID].[All]" allUniqueName="[Customers].[RegionID].[All]" dimensionUniqueName="[Customers]" displayFolder="" count="0" memberValueDatatype="130" unbalanced="0"/>
    <cacheHierarchy uniqueName="[Customers].[JoinDate]" caption="JoinDate" attribute="1" time="1" defaultMemberUniqueName="[Customers].[JoinDate].[All]" allUniqueName="[Customers].[JoinDate].[All]" dimensionUniqueName="[Customers]" displayFolder="" count="0" memberValueDatatype="7" unbalanced="0"/>
    <cacheHierarchy uniqueName="[Customers].[CustomerType]" caption="CustomerType" attribute="1" defaultMemberUniqueName="[Customers].[CustomerType].[All]" allUniqueName="[Customers].[CustomerType].[All]" dimensionUniqueName="[Customer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Supplier]" caption="Supplier" attribute="1" defaultMemberUniqueName="[Products].[Supplier].[All]" allUniqueName="[Products].[Supplier].[All]" dimensionUniqueName="[Products]" displayFolder="" count="0" memberValueDatatype="130" unbalanced="0"/>
    <cacheHierarchy uniqueName="[Products].[UnitCost]" caption="UnitCost" attribute="1" defaultMemberUniqueName="[Products].[UnitCost].[All]" allUniqueName="[Products].[Unit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Regions].[RegionID]" caption="RegionID" attribute="1" defaultMemberUniqueName="[Regions].[RegionID].[All]" allUniqueName="[Regions].[RegionID].[All]" dimensionUniqueName="[Regions]" displayFolder="" count="0" memberValueDatatype="130" unbalanced="0"/>
    <cacheHierarchy uniqueName="[Regions].[Country]" caption="Country" attribute="1" defaultMemberUniqueName="[Regions].[Country].[All]" allUniqueName="[Regions].[Country].[All]" dimensionUniqueName="[Regions]" displayFolder="" count="0" memberValueDatatype="130" unbalanced="0"/>
    <cacheHierarchy uniqueName="[Regions].[State/Province]" caption="State/Province" attribute="1" defaultMemberUniqueName="[Regions].[State/Province].[All]" allUniqueName="[Regions].[State/Province].[All]" dimensionUniqueName="[Regions]" displayFolder="" count="0" memberValueDatatype="130" unbalanced="0"/>
    <cacheHierarchy uniqueName="[Regions].[City]" caption="City" attribute="1" defaultMemberUniqueName="[Regions].[City].[All]" allUniqueName="[Regions].[City].[All]" dimensionUniqueName="[Regions]" displayFolder="" count="2" memberValueDatatype="130" unbalanced="0"/>
    <cacheHierarchy uniqueName="[Regions].[PostalCode]" caption="PostalCode" attribute="1" defaultMemberUniqueName="[Regions].[PostalCode].[All]" allUniqueName="[Regions].[PostalCode].[All]" dimensionUniqueName="[Regions]" displayFolder="" count="0" memberValueDatatype="130" unbalanced="0"/>
    <cacheHierarchy uniqueName="[Regions].[SalesManager]" caption="SalesManager" attribute="1" defaultMemberUniqueName="[Regions].[SalesManager].[All]" allUniqueName="[Regions].[SalesManager].[All]" dimensionUniqueName="[Regions]" displayFolder="" count="0" memberValueDatatype="130" unbalanced="0"/>
    <cacheHierarchy uniqueName="[Sales].[OrderID]" caption="OrderID" attribute="1" defaultMemberUniqueName="[Sales].[OrderID].[All]" allUniqueName="[Sales].[OrderID].[All]" dimensionUniqueName="[Sales]" displayFolder="" count="0" memberValueDatatype="20" unbalanced="0"/>
    <cacheHierarchy uniqueName="[Sales].[OrderDate]" caption="OrderDate" attribute="1" time="1" defaultMemberUniqueName="[Sales].[OrderDate].[All]" allUniqueName="[Sales].[OrderDate].[All]" dimensionUniqueName="[Sales]" displayFolder="" count="2" memberValueDatatype="7" unbalanced="0"/>
    <cacheHierarchy uniqueName="[Sales].[CustomerID]" caption="CustomerID" attribute="1" defaultMemberUniqueName="[Sales].[CustomerID].[All]" allUniqueName="[Sales].[CustomerID].[All]" dimensionUniqueName="[Sales]" displayFolder="" count="0" memberValueDatatype="130" unbalanced="0"/>
    <cacheHierarchy uniqueName="[Sales].[ProductID]" caption="ProductID" attribute="1" defaultMemberUniqueName="[Sales].[ProductID].[All]" allUniqueName="[Sales].[Product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GrossAmount]" caption="GrossAmount" attribute="1" defaultMemberUniqueName="[Sales].[GrossAmount].[All]" allUniqueName="[Sales].[GrossAmount].[All]" dimensionUniqueName="[Sales]" displayFolder="" count="0" memberValueDatatype="5" unbalanced="0"/>
    <cacheHierarchy uniqueName="[Sales].[DiscountRate]" caption="DiscountRate" attribute="1" defaultMemberUniqueName="[Sales].[DiscountRate].[All]" allUniqueName="[Sales].[DiscountRate].[All]" dimensionUniqueName="[Sales]" displayFolder="" count="0" memberValueDatatype="5" unbalanced="0"/>
    <cacheHierarchy uniqueName="[Sales].[Revenue]" caption="Revenue" attribute="1" defaultMemberUniqueName="[Sales].[Revenue].[All]" allUniqueName="[Sales].[Revenue].[All]" dimensionUniqueName="[Sales]" displayFolder="" count="0" memberValueDatatype="5" unbalanced="0"/>
    <cacheHierarchy uniqueName="[Sales].[UnitCost]" caption="UnitCost" attribute="1" defaultMemberUniqueName="[Sales].[UnitCost].[All]" allUniqueName="[Sales].[Unit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OrderDate (Year)]" caption="OrderDate (Year)" attribute="1" defaultMemberUniqueName="[Sales].[OrderDate (Year)].[All]" allUniqueName="[Sales].[OrderDate (Year)].[All]" dimensionUniqueName="[Sales]" displayFolder="" count="2" memberValueDatatype="130" unbalanced="0">
      <fieldsUsage count="2">
        <fieldUsage x="-1"/>
        <fieldUsage x="0"/>
      </fieldsUsage>
    </cacheHierarchy>
    <cacheHierarchy uniqueName="[Sales].[OrderDate (Quarter)]" caption="OrderDate (Quarter)" attribute="1" defaultMemberUniqueName="[Sales].[OrderDate (Quarter)].[All]" allUniqueName="[Sales].[OrderDate (Quarter)].[All]" dimensionUniqueName="[Sales]" displayFolder="" count="0" memberValueDatatype="130" unbalanced="0"/>
    <cacheHierarchy uniqueName="[Sales].[OrderDate (Month)]" caption="OrderDate (Month)" attribute="1" defaultMemberUniqueName="[Sales].[OrderDate (Month)].[All]" allUniqueName="[Sales].[OrderDate (Month)].[All]" dimensionUniqueName="[Sales]" displayFolder="" count="0" memberValueDatatype="130" unbalanced="0"/>
    <cacheHierarchy uniqueName="[Sales].[OrderDate (Month Index)]" caption="OrderDate (Month Index)" attribute="1" defaultMemberUniqueName="[Sales].[OrderDate (Month Index)].[All]" allUniqueName="[Sales].[OrderDate (Month Index)].[All]" dimensionUniqueName="[Sales]" displayFolder="" count="0" memberValueDatatype="20" unbalanced="0" hidden="1"/>
    <cacheHierarchy uniqueName="[Measures].[Total Profit]" caption="Total Profit" measure="1" displayFolder="" measureGroup="Sales" count="0"/>
    <cacheHierarchy uniqueName="[Measures].[Profit Margin]" caption="Profit Margin" measure="1" displayFolder="" measureGroup="Sales" count="0"/>
    <cacheHierarchy uniqueName="[Measures].[YTD Revenue]" caption="YTD Revenue" measure="1" displayFolder="" measureGroup="Sales" count="0" oneField="1">
      <fieldsUsage count="1">
        <fieldUsage x="1"/>
      </fieldsUsage>
    </cacheHierarchy>
    <cacheHierarchy uniqueName="[Measures].[Previous Year Revenue]" caption="Previous Year Revenue" measure="1" displayFolder="" measureGroup="Sales" count="0"/>
    <cacheHierarchy uniqueName="[Measures].[Total Revenue]" caption="Total Revenue" measure="1" displayFolder="" measureGroup="Sales" count="0"/>
    <cacheHierarchy uniqueName="[Measures].[YOY Growth]" caption="YOY Growth" measure="1" displayFolder="" measureGroup="Sales" count="0"/>
    <cacheHierarchy uniqueName="[Measures].[Total Orders]" caption="Total Orders" measure="1" displayFolder="" measureGroup="Sales" count="0"/>
    <cacheHierarchy uniqueName="[Measures].[Average Order Value]" caption="Average Order Value" measure="1" displayFolder="" measureGroup="Sales" count="0"/>
    <cacheHierarchy uniqueName="[Measures].[__XL_Count Sales]" caption="__XL_Count Sales" measure="1" displayFolder="" measureGroup="Sale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gions]" caption="__XL_Count Regions" measure="1" displayFolder="" measureGroup="Regions" count="0" hidden="1"/>
    <cacheHierarchy uniqueName="[Measures].[__No measures defined]" caption="__No measures defined" measure="1" displayFolder="" count="0" hidden="1"/>
    <cacheHierarchy uniqueName="[Measures].[Count of Category]" caption="Count of Category" measure="1" displayFolder="" measureGroup="Products" count="0" hidden="1">
      <extLst>
        <ext xmlns:x15="http://schemas.microsoft.com/office/spreadsheetml/2010/11/main" uri="{B97F6D7D-B522-45F9-BDA1-12C45D357490}">
          <x15:cacheHierarchy aggregatedColumn="9"/>
        </ext>
      </extLst>
    </cacheHierarchy>
  </cacheHierarchies>
  <kpis count="0"/>
  <dimensions count="5">
    <dimension name="Customers" uniqueName="[Customers]" caption="Customers"/>
    <dimension measure="1" name="Measures" uniqueName="[Measures]" caption="Measures"/>
    <dimension name="Products" uniqueName="[Products]" caption="Products"/>
    <dimension name="Regions" uniqueName="[Regions]" caption="Regions"/>
    <dimension name="Sales" uniqueName="[Sales]" caption="Sales"/>
  </dimensions>
  <measureGroups count="4">
    <measureGroup name="Customers" caption="Customers"/>
    <measureGroup name="Products" caption="Products"/>
    <measureGroup name="Regions" caption="Regions"/>
    <measureGroup name="Sales" caption="Sales"/>
  </measureGroups>
  <maps count="8">
    <map measureGroup="0" dimension="0"/>
    <map measureGroup="0" dimension="3"/>
    <map measureGroup="1" dimension="2"/>
    <map measureGroup="2" dimension="3"/>
    <map measureGroup="3" dimension="0"/>
    <map measureGroup="3" dimension="2"/>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Shamima Sultana" refreshedDate="46284.478178935184" createdVersion="5" refreshedVersion="8" minRefreshableVersion="3" recordCount="0" supportSubquery="1" supportAdvancedDrill="1" xr:uid="{5D27E6C7-4C48-4274-884A-30EF55542976}">
  <cacheSource type="external" connectionId="8"/>
  <cacheFields count="3">
    <cacheField name="[Sales].[OrderDate (Month)].[OrderDate (Month)]" caption="OrderDate (Month)" numFmtId="0" hierarchy="32" level="1">
      <sharedItems count="12">
        <s v="Jan"/>
        <s v="Feb"/>
        <s v="Mar"/>
        <s v="Apr"/>
        <s v="May"/>
        <s v="Jun"/>
        <s v="Jul"/>
        <s v="Aug"/>
        <s v="Sep"/>
        <s v="Oct"/>
        <s v="Nov"/>
        <s v="Dec"/>
      </sharedItems>
    </cacheField>
    <cacheField name="[Measures].[Total Revenue]" caption="Total Revenue" numFmtId="0" hierarchy="38" level="32767"/>
    <cacheField name="[Products].[Category].[Category]" caption="Category" numFmtId="0" hierarchy="9" level="1">
      <sharedItems containsSemiMixedTypes="0" containsNonDate="0" containsString="0"/>
    </cacheField>
  </cacheFields>
  <cacheHierarchies count="48">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RegionID]" caption="RegionID" attribute="1" defaultMemberUniqueName="[Customers].[RegionID].[All]" allUniqueName="[Customers].[RegionID].[All]" dimensionUniqueName="[Customers]" displayFolder="" count="0" memberValueDatatype="130" unbalanced="0"/>
    <cacheHierarchy uniqueName="[Customers].[JoinDate]" caption="JoinDate" attribute="1" time="1" defaultMemberUniqueName="[Customers].[JoinDate].[All]" allUniqueName="[Customers].[JoinDate].[All]" dimensionUniqueName="[Customers]" displayFolder="" count="0" memberValueDatatype="7" unbalanced="0"/>
    <cacheHierarchy uniqueName="[Customers].[CustomerType]" caption="CustomerType" attribute="1" defaultMemberUniqueName="[Customers].[CustomerType].[All]" allUniqueName="[Customers].[CustomerType].[All]" dimensionUniqueName="[Customer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Supplier]" caption="Supplier" attribute="1" defaultMemberUniqueName="[Products].[Supplier].[All]" allUniqueName="[Products].[Supplier].[All]" dimensionUniqueName="[Products]" displayFolder="" count="0" memberValueDatatype="130" unbalanced="0"/>
    <cacheHierarchy uniqueName="[Products].[UnitCost]" caption="UnitCost" attribute="1" defaultMemberUniqueName="[Products].[UnitCost].[All]" allUniqueName="[Products].[Unit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Regions].[RegionID]" caption="RegionID" attribute="1" defaultMemberUniqueName="[Regions].[RegionID].[All]" allUniqueName="[Regions].[RegionID].[All]" dimensionUniqueName="[Regions]" displayFolder="" count="0" memberValueDatatype="130" unbalanced="0"/>
    <cacheHierarchy uniqueName="[Regions].[Country]" caption="Country" attribute="1" defaultMemberUniqueName="[Regions].[Country].[All]" allUniqueName="[Regions].[Country].[All]" dimensionUniqueName="[Regions]" displayFolder="" count="0" memberValueDatatype="130" unbalanced="0"/>
    <cacheHierarchy uniqueName="[Regions].[State/Province]" caption="State/Province" attribute="1" defaultMemberUniqueName="[Regions].[State/Province].[All]" allUniqueName="[Regions].[State/Province].[All]" dimensionUniqueName="[Regions]" displayFolder="" count="0" memberValueDatatype="130" unbalanced="0"/>
    <cacheHierarchy uniqueName="[Regions].[City]" caption="City" attribute="1" defaultMemberUniqueName="[Regions].[City].[All]" allUniqueName="[Regions].[City].[All]" dimensionUniqueName="[Regions]" displayFolder="" count="2" memberValueDatatype="130" unbalanced="0"/>
    <cacheHierarchy uniqueName="[Regions].[PostalCode]" caption="PostalCode" attribute="1" defaultMemberUniqueName="[Regions].[PostalCode].[All]" allUniqueName="[Regions].[PostalCode].[All]" dimensionUniqueName="[Regions]" displayFolder="" count="0" memberValueDatatype="130" unbalanced="0"/>
    <cacheHierarchy uniqueName="[Regions].[SalesManager]" caption="SalesManager" attribute="1" defaultMemberUniqueName="[Regions].[SalesManager].[All]" allUniqueName="[Regions].[SalesManager].[All]" dimensionUniqueName="[Regions]" displayFolder="" count="0" memberValueDatatype="130" unbalanced="0"/>
    <cacheHierarchy uniqueName="[Sales].[OrderID]" caption="OrderID" attribute="1" defaultMemberUniqueName="[Sales].[OrderID].[All]" allUniqueName="[Sales].[OrderID].[All]" dimensionUniqueName="[Sales]" displayFolder="" count="0" memberValueDatatype="20" unbalanced="0"/>
    <cacheHierarchy uniqueName="[Sales].[OrderDate]" caption="OrderDate" attribute="1" time="1" defaultMemberUniqueName="[Sales].[OrderDate].[All]" allUniqueName="[Sales].[OrderDate].[All]" dimensionUniqueName="[Sales]" displayFolder="" count="2" memberValueDatatype="7" unbalanced="0"/>
    <cacheHierarchy uniqueName="[Sales].[CustomerID]" caption="CustomerID" attribute="1" defaultMemberUniqueName="[Sales].[CustomerID].[All]" allUniqueName="[Sales].[CustomerID].[All]" dimensionUniqueName="[Sales]" displayFolder="" count="0" memberValueDatatype="130" unbalanced="0"/>
    <cacheHierarchy uniqueName="[Sales].[ProductID]" caption="ProductID" attribute="1" defaultMemberUniqueName="[Sales].[ProductID].[All]" allUniqueName="[Sales].[Product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GrossAmount]" caption="GrossAmount" attribute="1" defaultMemberUniqueName="[Sales].[GrossAmount].[All]" allUniqueName="[Sales].[GrossAmount].[All]" dimensionUniqueName="[Sales]" displayFolder="" count="0" memberValueDatatype="5" unbalanced="0"/>
    <cacheHierarchy uniqueName="[Sales].[DiscountRate]" caption="DiscountRate" attribute="1" defaultMemberUniqueName="[Sales].[DiscountRate].[All]" allUniqueName="[Sales].[DiscountRate].[All]" dimensionUniqueName="[Sales]" displayFolder="" count="0" memberValueDatatype="5" unbalanced="0"/>
    <cacheHierarchy uniqueName="[Sales].[Revenue]" caption="Revenue" attribute="1" defaultMemberUniqueName="[Sales].[Revenue].[All]" allUniqueName="[Sales].[Revenue].[All]" dimensionUniqueName="[Sales]" displayFolder="" count="0" memberValueDatatype="5" unbalanced="0"/>
    <cacheHierarchy uniqueName="[Sales].[UnitCost]" caption="UnitCost" attribute="1" defaultMemberUniqueName="[Sales].[UnitCost].[All]" allUniqueName="[Sales].[Unit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OrderDate (Year)]" caption="OrderDate (Year)" attribute="1" defaultMemberUniqueName="[Sales].[OrderDate (Year)].[All]" allUniqueName="[Sales].[OrderDate (Year)].[All]" dimensionUniqueName="[Sales]" displayFolder="" count="0" memberValueDatatype="130" unbalanced="0"/>
    <cacheHierarchy uniqueName="[Sales].[OrderDate (Quarter)]" caption="OrderDate (Quarter)" attribute="1" defaultMemberUniqueName="[Sales].[OrderDate (Quarter)].[All]" allUniqueName="[Sales].[OrderDate (Quarter)].[All]" dimensionUniqueName="[Sales]" displayFolder="" count="0" memberValueDatatype="130" unbalanced="0"/>
    <cacheHierarchy uniqueName="[Sales].[OrderDate (Month)]" caption="OrderDate (Month)" attribute="1" defaultMemberUniqueName="[Sales].[OrderDate (Month)].[All]" allUniqueName="[Sales].[OrderDate (Month)].[All]" dimensionUniqueName="[Sales]" displayFolder="" count="2" memberValueDatatype="130" unbalanced="0">
      <fieldsUsage count="2">
        <fieldUsage x="-1"/>
        <fieldUsage x="0"/>
      </fieldsUsage>
    </cacheHierarchy>
    <cacheHierarchy uniqueName="[Sales].[OrderDate (Month Index)]" caption="OrderDate (Month Index)" attribute="1" defaultMemberUniqueName="[Sales].[OrderDate (Month Index)].[All]" allUniqueName="[Sales].[OrderDate (Month Index)].[All]" dimensionUniqueName="[Sales]" displayFolder="" count="0" memberValueDatatype="20" unbalanced="0" hidden="1"/>
    <cacheHierarchy uniqueName="[Measures].[Total Profit]" caption="Total Profit" measure="1" displayFolder="" measureGroup="Sales" count="0"/>
    <cacheHierarchy uniqueName="[Measures].[Profit Margin]" caption="Profit Margin" measure="1" displayFolder="" measureGroup="Sales" count="0"/>
    <cacheHierarchy uniqueName="[Measures].[YTD Revenue]" caption="YTD Revenue" measure="1" displayFolder="" measureGroup="Sales" count="0"/>
    <cacheHierarchy uniqueName="[Measures].[Previous Year Revenue]" caption="Previous Year Revenue" measure="1" displayFolder="" measureGroup="Sales" count="0"/>
    <cacheHierarchy uniqueName="[Measures].[Total Revenue]" caption="Total Revenue" measure="1" displayFolder="" measureGroup="Sales" count="0" oneField="1">
      <fieldsUsage count="1">
        <fieldUsage x="1"/>
      </fieldsUsage>
    </cacheHierarchy>
    <cacheHierarchy uniqueName="[Measures].[YOY Growth]" caption="YOY Growth" measure="1" displayFolder="" measureGroup="Sales" count="0"/>
    <cacheHierarchy uniqueName="[Measures].[Total Orders]" caption="Total Orders" measure="1" displayFolder="" measureGroup="Sales" count="0"/>
    <cacheHierarchy uniqueName="[Measures].[Average Order Value]" caption="Average Order Value" measure="1" displayFolder="" measureGroup="Sales" count="0"/>
    <cacheHierarchy uniqueName="[Measures].[__XL_Count Sales]" caption="__XL_Count Sales" measure="1" displayFolder="" measureGroup="Sale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gions]" caption="__XL_Count Regions" measure="1" displayFolder="" measureGroup="Regions" count="0" hidden="1"/>
    <cacheHierarchy uniqueName="[Measures].[__No measures defined]" caption="__No measures defined" measure="1" displayFolder="" count="0" hidden="1"/>
    <cacheHierarchy uniqueName="[Measures].[Count of Category]" caption="Count of Category" measure="1" displayFolder="" measureGroup="Products" count="0" hidden="1">
      <extLst>
        <ext xmlns:x15="http://schemas.microsoft.com/office/spreadsheetml/2010/11/main" uri="{B97F6D7D-B522-45F9-BDA1-12C45D357490}">
          <x15:cacheHierarchy aggregatedColumn="9"/>
        </ext>
      </extLst>
    </cacheHierarchy>
  </cacheHierarchies>
  <kpis count="0"/>
  <dimensions count="5">
    <dimension name="Customers" uniqueName="[Customers]" caption="Customers"/>
    <dimension measure="1" name="Measures" uniqueName="[Measures]" caption="Measures"/>
    <dimension name="Products" uniqueName="[Products]" caption="Products"/>
    <dimension name="Regions" uniqueName="[Regions]" caption="Regions"/>
    <dimension name="Sales" uniqueName="[Sales]" caption="Sales"/>
  </dimensions>
  <measureGroups count="4">
    <measureGroup name="Customers" caption="Customers"/>
    <measureGroup name="Products" caption="Products"/>
    <measureGroup name="Regions" caption="Regions"/>
    <measureGroup name="Sales" caption="Sales"/>
  </measureGroups>
  <maps count="8">
    <map measureGroup="0" dimension="0"/>
    <map measureGroup="0" dimension="3"/>
    <map measureGroup="1" dimension="2"/>
    <map measureGroup="2" dimension="3"/>
    <map measureGroup="3" dimension="0"/>
    <map measureGroup="3" dimension="2"/>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mima Sultana" refreshedDate="45822.580594328705" createdVersion="3" refreshedVersion="8" minRefreshableVersion="3" recordCount="0" supportSubquery="1" supportAdvancedDrill="1" xr:uid="{F1DE2936-8527-482C-8ACC-2963CD78616A}">
  <cacheSource type="external" connectionId="8">
    <extLst>
      <ext xmlns:x14="http://schemas.microsoft.com/office/spreadsheetml/2009/9/main" uri="{F057638F-6D5F-4e77-A914-E7F072B9BCA8}">
        <x14:sourceConnection name="ThisWorkbookDataModel"/>
      </ext>
    </extLst>
  </cacheSource>
  <cacheFields count="0"/>
  <cacheHierarchies count="48">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RegionID]" caption="RegionID" attribute="1" defaultMemberUniqueName="[Customers].[RegionID].[All]" allUniqueName="[Customers].[RegionID].[All]" dimensionUniqueName="[Customers]" displayFolder="" count="0" memberValueDatatype="130" unbalanced="0"/>
    <cacheHierarchy uniqueName="[Customers].[JoinDate]" caption="JoinDate" attribute="1" time="1" defaultMemberUniqueName="[Customers].[JoinDate].[All]" allUniqueName="[Customers].[JoinDate].[All]" dimensionUniqueName="[Customers]" displayFolder="" count="0" memberValueDatatype="7" unbalanced="0"/>
    <cacheHierarchy uniqueName="[Customers].[CustomerType]" caption="CustomerType" attribute="1" defaultMemberUniqueName="[Customers].[CustomerType].[All]" allUniqueName="[Customers].[CustomerType].[All]" dimensionUniqueName="[Customer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pplier]" caption="Supplier" attribute="1" defaultMemberUniqueName="[Products].[Supplier].[All]" allUniqueName="[Products].[Supplier].[All]" dimensionUniqueName="[Products]" displayFolder="" count="0" memberValueDatatype="130" unbalanced="0"/>
    <cacheHierarchy uniqueName="[Products].[UnitCost]" caption="UnitCost" attribute="1" defaultMemberUniqueName="[Products].[UnitCost].[All]" allUniqueName="[Products].[Unit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Regions].[RegionID]" caption="RegionID" attribute="1" defaultMemberUniqueName="[Regions].[RegionID].[All]" allUniqueName="[Regions].[RegionID].[All]" dimensionUniqueName="[Regions]" displayFolder="" count="0" memberValueDatatype="130" unbalanced="0"/>
    <cacheHierarchy uniqueName="[Regions].[Country]" caption="Country" attribute="1" defaultMemberUniqueName="[Regions].[Country].[All]" allUniqueName="[Regions].[Country].[All]" dimensionUniqueName="[Regions]" displayFolder="" count="0" memberValueDatatype="130" unbalanced="0"/>
    <cacheHierarchy uniqueName="[Regions].[State/Province]" caption="State/Province" attribute="1" defaultMemberUniqueName="[Regions].[State/Province].[All]" allUniqueName="[Regions].[State/Province].[All]" dimensionUniqueName="[Regions]" displayFolder="" count="0" memberValueDatatype="130" unbalanced="0"/>
    <cacheHierarchy uniqueName="[Regions].[City]" caption="City" attribute="1" defaultMemberUniqueName="[Regions].[City].[All]" allUniqueName="[Regions].[City].[All]" dimensionUniqueName="[Regions]" displayFolder="" count="2" memberValueDatatype="130" unbalanced="0"/>
    <cacheHierarchy uniqueName="[Regions].[PostalCode]" caption="PostalCode" attribute="1" defaultMemberUniqueName="[Regions].[PostalCode].[All]" allUniqueName="[Regions].[PostalCode].[All]" dimensionUniqueName="[Regions]" displayFolder="" count="0" memberValueDatatype="130" unbalanced="0"/>
    <cacheHierarchy uniqueName="[Regions].[SalesManager]" caption="SalesManager" attribute="1" defaultMemberUniqueName="[Regions].[SalesManager].[All]" allUniqueName="[Regions].[SalesManager].[All]" dimensionUniqueName="[Regions]" displayFolder="" count="0" memberValueDatatype="130" unbalanced="0"/>
    <cacheHierarchy uniqueName="[Sales].[OrderID]" caption="OrderID" attribute="1" defaultMemberUniqueName="[Sales].[OrderID].[All]" allUniqueName="[Sales].[OrderID].[All]" dimensionUniqueName="[Sales]" displayFolder="" count="0" memberValueDatatype="20" unbalanced="0"/>
    <cacheHierarchy uniqueName="[Sales].[OrderDate]" caption="OrderDate" attribute="1" time="1" defaultMemberUniqueName="[Sales].[OrderDate].[All]" allUniqueName="[Sales].[OrderDate].[All]" dimensionUniqueName="[Sales]" displayFolder="" count="0" memberValueDatatype="7" unbalanced="0"/>
    <cacheHierarchy uniqueName="[Sales].[CustomerID]" caption="CustomerID" attribute="1" defaultMemberUniqueName="[Sales].[CustomerID].[All]" allUniqueName="[Sales].[CustomerID].[All]" dimensionUniqueName="[Sales]" displayFolder="" count="0" memberValueDatatype="130" unbalanced="0"/>
    <cacheHierarchy uniqueName="[Sales].[ProductID]" caption="ProductID" attribute="1" defaultMemberUniqueName="[Sales].[ProductID].[All]" allUniqueName="[Sales].[Product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GrossAmount]" caption="GrossAmount" attribute="1" defaultMemberUniqueName="[Sales].[GrossAmount].[All]" allUniqueName="[Sales].[GrossAmount].[All]" dimensionUniqueName="[Sales]" displayFolder="" count="0" memberValueDatatype="5" unbalanced="0"/>
    <cacheHierarchy uniqueName="[Sales].[DiscountRate]" caption="DiscountRate" attribute="1" defaultMemberUniqueName="[Sales].[DiscountRate].[All]" allUniqueName="[Sales].[DiscountRate].[All]" dimensionUniqueName="[Sales]" displayFolder="" count="0" memberValueDatatype="5" unbalanced="0"/>
    <cacheHierarchy uniqueName="[Sales].[Revenue]" caption="Revenue" attribute="1" defaultMemberUniqueName="[Sales].[Revenue].[All]" allUniqueName="[Sales].[Revenue].[All]" dimensionUniqueName="[Sales]" displayFolder="" count="0" memberValueDatatype="5" unbalanced="0"/>
    <cacheHierarchy uniqueName="[Sales].[UnitCost]" caption="UnitCost" attribute="1" defaultMemberUniqueName="[Sales].[UnitCost].[All]" allUniqueName="[Sales].[Unit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OrderDate (Year)]" caption="OrderDate (Year)" attribute="1" defaultMemberUniqueName="[Sales].[OrderDate (Year)].[All]" allUniqueName="[Sales].[OrderDate (Year)].[All]" dimensionUniqueName="[Sales]" displayFolder="" count="0" memberValueDatatype="130" unbalanced="0"/>
    <cacheHierarchy uniqueName="[Sales].[OrderDate (Quarter)]" caption="OrderDate (Quarter)" attribute="1" defaultMemberUniqueName="[Sales].[OrderDate (Quarter)].[All]" allUniqueName="[Sales].[OrderDate (Quarter)].[All]" dimensionUniqueName="[Sales]" displayFolder="" count="0" memberValueDatatype="130" unbalanced="0"/>
    <cacheHierarchy uniqueName="[Sales].[OrderDate (Month)]" caption="OrderDate (Month)" attribute="1" defaultMemberUniqueName="[Sales].[OrderDate (Month)].[All]" allUniqueName="[Sales].[OrderDate (Month)].[All]" dimensionUniqueName="[Sales]" displayFolder="" count="0" memberValueDatatype="130" unbalanced="0"/>
    <cacheHierarchy uniqueName="[Sales].[OrderDate (Month Index)]" caption="OrderDate (Month Index)" attribute="1" defaultMemberUniqueName="[Sales].[OrderDate (Month Index)].[All]" allUniqueName="[Sales].[OrderDate (Month Index)].[All]" dimensionUniqueName="[Sales]" displayFolder="" count="0" memberValueDatatype="20" unbalanced="0" hidden="1"/>
    <cacheHierarchy uniqueName="[Measures].[Total Profit]" caption="Total Profit" measure="1" displayFolder="" measureGroup="Sales" count="0"/>
    <cacheHierarchy uniqueName="[Measures].[Profit Margin]" caption="Profit Margin" measure="1" displayFolder="" measureGroup="Sales" count="0"/>
    <cacheHierarchy uniqueName="[Measures].[YTD Revenue]" caption="YTD Revenue" measure="1" displayFolder="" measureGroup="Sales" count="0"/>
    <cacheHierarchy uniqueName="[Measures].[Previous Year Revenue]" caption="Previous Year Revenue" measure="1" displayFolder="" measureGroup="Sales" count="0"/>
    <cacheHierarchy uniqueName="[Measures].[Total Revenue]" caption="Total Revenue" measure="1" displayFolder="" measureGroup="Sales" count="0"/>
    <cacheHierarchy uniqueName="[Measures].[YOY Growth]" caption="YOY Growth" measure="1" displayFolder="" measureGroup="Sales" count="0"/>
    <cacheHierarchy uniqueName="[Measures].[Total Orders]" caption="Total Orders" measure="1" displayFolder="" measureGroup="Sales" count="0"/>
    <cacheHierarchy uniqueName="[Measures].[Average Order Value]" caption="Average Order Value" measure="1" displayFolder="" measureGroup="Sales" count="0"/>
    <cacheHierarchy uniqueName="[Measures].[__XL_Count Sales]" caption="__XL_Count Sales" measure="1" displayFolder="" measureGroup="Sale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gions]" caption="__XL_Count Regions" measure="1" displayFolder="" measureGroup="Regions" count="0" hidden="1"/>
    <cacheHierarchy uniqueName="[Measures].[__No measures defined]" caption="__No measures defined" measure="1" displayFolder="" count="0" hidden="1"/>
    <cacheHierarchy uniqueName="[Measures].[Count of Category]" caption="Count of Category" measure="1" displayFolder="" measureGroup="Products"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1427888384"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mima Sultana" refreshedDate="45822.580596990738" createdVersion="3" refreshedVersion="8" minRefreshableVersion="3" recordCount="0" supportSubquery="1" supportAdvancedDrill="1" xr:uid="{E542CCF2-4150-441B-B685-F73475E1C3C2}">
  <cacheSource type="external" connectionId="8">
    <extLst>
      <ext xmlns:x14="http://schemas.microsoft.com/office/spreadsheetml/2009/9/main" uri="{F057638F-6D5F-4e77-A914-E7F072B9BCA8}">
        <x14:sourceConnection name="ThisWorkbookDataModel"/>
      </ext>
    </extLst>
  </cacheSource>
  <cacheFields count="0"/>
  <cacheHierarchies count="48">
    <cacheHierarchy uniqueName="[Customers].[CustomerID]" caption="CustomerID" attribute="1" defaultMemberUniqueName="[Customers].[CustomerID].[All]" allUniqueName="[Customers].[CustomerID].[All]" dimensionUniqueName="[Customers]" displayFolder="" count="0" memberValueDatatype="130" unbalanced="0"/>
    <cacheHierarchy uniqueName="[Customers].[CustomerName]" caption="CustomerName" attribute="1" defaultMemberUniqueName="[Customers].[CustomerName].[All]" allUniqueName="[Customers].[Customer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RegionID]" caption="RegionID" attribute="1" defaultMemberUniqueName="[Customers].[RegionID].[All]" allUniqueName="[Customers].[RegionID].[All]" dimensionUniqueName="[Customers]" displayFolder="" count="0" memberValueDatatype="130" unbalanced="0"/>
    <cacheHierarchy uniqueName="[Customers].[JoinDate]" caption="JoinDate" attribute="1" time="1" defaultMemberUniqueName="[Customers].[JoinDate].[All]" allUniqueName="[Customers].[JoinDate].[All]" dimensionUniqueName="[Customers]" displayFolder="" count="0" memberValueDatatype="7" unbalanced="0"/>
    <cacheHierarchy uniqueName="[Customers].[CustomerType]" caption="CustomerType" attribute="1" defaultMemberUniqueName="[Customers].[CustomerType].[All]" allUniqueName="[Customers].[CustomerType].[All]" dimensionUniqueName="[Customers]" displayFolder="" count="0"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pplier]" caption="Supplier" attribute="1" defaultMemberUniqueName="[Products].[Supplier].[All]" allUniqueName="[Products].[Supplier].[All]" dimensionUniqueName="[Products]" displayFolder="" count="0" memberValueDatatype="130" unbalanced="0"/>
    <cacheHierarchy uniqueName="[Products].[UnitCost]" caption="UnitCost" attribute="1" defaultMemberUniqueName="[Products].[UnitCost].[All]" allUniqueName="[Products].[Unit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Regions].[RegionID]" caption="RegionID" attribute="1" defaultMemberUniqueName="[Regions].[RegionID].[All]" allUniqueName="[Regions].[RegionID].[All]" dimensionUniqueName="[Regions]" displayFolder="" count="0" memberValueDatatype="130" unbalanced="0"/>
    <cacheHierarchy uniqueName="[Regions].[Country]" caption="Country" attribute="1" defaultMemberUniqueName="[Regions].[Country].[All]" allUniqueName="[Regions].[Country].[All]" dimensionUniqueName="[Regions]" displayFolder="" count="0" memberValueDatatype="130" unbalanced="0"/>
    <cacheHierarchy uniqueName="[Regions].[State/Province]" caption="State/Province" attribute="1" defaultMemberUniqueName="[Regions].[State/Province].[All]" allUniqueName="[Regions].[State/Province].[All]" dimensionUniqueName="[Regions]" displayFolder="" count="0" memberValueDatatype="130" unbalanced="0"/>
    <cacheHierarchy uniqueName="[Regions].[City]" caption="City" attribute="1" defaultMemberUniqueName="[Regions].[City].[All]" allUniqueName="[Regions].[City].[All]" dimensionUniqueName="[Regions]" displayFolder="" count="0" memberValueDatatype="130" unbalanced="0"/>
    <cacheHierarchy uniqueName="[Regions].[PostalCode]" caption="PostalCode" attribute="1" defaultMemberUniqueName="[Regions].[PostalCode].[All]" allUniqueName="[Regions].[PostalCode].[All]" dimensionUniqueName="[Regions]" displayFolder="" count="0" memberValueDatatype="130" unbalanced="0"/>
    <cacheHierarchy uniqueName="[Regions].[SalesManager]" caption="SalesManager" attribute="1" defaultMemberUniqueName="[Regions].[SalesManager].[All]" allUniqueName="[Regions].[SalesManager].[All]" dimensionUniqueName="[Regions]" displayFolder="" count="0" memberValueDatatype="130" unbalanced="0"/>
    <cacheHierarchy uniqueName="[Sales].[OrderID]" caption="OrderID" attribute="1" defaultMemberUniqueName="[Sales].[OrderID].[All]" allUniqueName="[Sales].[OrderID].[All]" dimensionUniqueName="[Sales]" displayFolder="" count="0" memberValueDatatype="20" unbalanced="0"/>
    <cacheHierarchy uniqueName="[Sales].[OrderDate]" caption="OrderDate" attribute="1" time="1" defaultMemberUniqueName="[Sales].[OrderDate].[All]" allUniqueName="[Sales].[OrderDate].[All]" dimensionUniqueName="[Sales]" displayFolder="" count="2" memberValueDatatype="7" unbalanced="0"/>
    <cacheHierarchy uniqueName="[Sales].[CustomerID]" caption="CustomerID" attribute="1" defaultMemberUniqueName="[Sales].[CustomerID].[All]" allUniqueName="[Sales].[CustomerID].[All]" dimensionUniqueName="[Sales]" displayFolder="" count="0" memberValueDatatype="130" unbalanced="0"/>
    <cacheHierarchy uniqueName="[Sales].[ProductID]" caption="ProductID" attribute="1" defaultMemberUniqueName="[Sales].[ProductID].[All]" allUniqueName="[Sales].[Product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GrossAmount]" caption="GrossAmount" attribute="1" defaultMemberUniqueName="[Sales].[GrossAmount].[All]" allUniqueName="[Sales].[GrossAmount].[All]" dimensionUniqueName="[Sales]" displayFolder="" count="0" memberValueDatatype="5" unbalanced="0"/>
    <cacheHierarchy uniqueName="[Sales].[DiscountRate]" caption="DiscountRate" attribute="1" defaultMemberUniqueName="[Sales].[DiscountRate].[All]" allUniqueName="[Sales].[DiscountRate].[All]" dimensionUniqueName="[Sales]" displayFolder="" count="0" memberValueDatatype="5" unbalanced="0"/>
    <cacheHierarchy uniqueName="[Sales].[Revenue]" caption="Revenue" attribute="1" defaultMemberUniqueName="[Sales].[Revenue].[All]" allUniqueName="[Sales].[Revenue].[All]" dimensionUniqueName="[Sales]" displayFolder="" count="0" memberValueDatatype="5" unbalanced="0"/>
    <cacheHierarchy uniqueName="[Sales].[UnitCost]" caption="UnitCost" attribute="1" defaultMemberUniqueName="[Sales].[UnitCost].[All]" allUniqueName="[Sales].[UnitCos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Sales].[OrderDate (Year)]" caption="OrderDate (Year)" attribute="1" defaultMemberUniqueName="[Sales].[OrderDate (Year)].[All]" allUniqueName="[Sales].[OrderDate (Year)].[All]" dimensionUniqueName="[Sales]" displayFolder="" count="0" memberValueDatatype="130" unbalanced="0"/>
    <cacheHierarchy uniqueName="[Sales].[OrderDate (Quarter)]" caption="OrderDate (Quarter)" attribute="1" defaultMemberUniqueName="[Sales].[OrderDate (Quarter)].[All]" allUniqueName="[Sales].[OrderDate (Quarter)].[All]" dimensionUniqueName="[Sales]" displayFolder="" count="0" memberValueDatatype="130" unbalanced="0"/>
    <cacheHierarchy uniqueName="[Sales].[OrderDate (Month)]" caption="OrderDate (Month)" attribute="1" defaultMemberUniqueName="[Sales].[OrderDate (Month)].[All]" allUniqueName="[Sales].[OrderDate (Month)].[All]" dimensionUniqueName="[Sales]" displayFolder="" count="0" memberValueDatatype="130" unbalanced="0"/>
    <cacheHierarchy uniqueName="[Sales].[OrderDate (Month Index)]" caption="OrderDate (Month Index)" attribute="1" defaultMemberUniqueName="[Sales].[OrderDate (Month Index)].[All]" allUniqueName="[Sales].[OrderDate (Month Index)].[All]" dimensionUniqueName="[Sales]" displayFolder="" count="0" memberValueDatatype="20" unbalanced="0" hidden="1"/>
    <cacheHierarchy uniqueName="[Measures].[Total Profit]" caption="Total Profit" measure="1" displayFolder="" measureGroup="Sales" count="0"/>
    <cacheHierarchy uniqueName="[Measures].[Profit Margin]" caption="Profit Margin" measure="1" displayFolder="" measureGroup="Sales" count="0"/>
    <cacheHierarchy uniqueName="[Measures].[YTD Revenue]" caption="YTD Revenue" measure="1" displayFolder="" measureGroup="Sales" count="0"/>
    <cacheHierarchy uniqueName="[Measures].[Previous Year Revenue]" caption="Previous Year Revenue" measure="1" displayFolder="" measureGroup="Sales" count="0"/>
    <cacheHierarchy uniqueName="[Measures].[Total Revenue]" caption="Total Revenue" measure="1" displayFolder="" measureGroup="Sales" count="0"/>
    <cacheHierarchy uniqueName="[Measures].[YOY Growth]" caption="YOY Growth" measure="1" displayFolder="" measureGroup="Sales" count="0"/>
    <cacheHierarchy uniqueName="[Measures].[Total Orders]" caption="Total Orders" measure="1" displayFolder="" measureGroup="Sales" count="0"/>
    <cacheHierarchy uniqueName="[Measures].[Average Order Value]" caption="Average Order Value" measure="1" displayFolder="" measureGroup="Sales" count="0"/>
    <cacheHierarchy uniqueName="[Measures].[__XL_Count Sales]" caption="__XL_Count Sales" measure="1" displayFolder="" measureGroup="Sale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gions]" caption="__XL_Count Regions" measure="1" displayFolder="" measureGroup="Regions" count="0" hidden="1"/>
    <cacheHierarchy uniqueName="[Measures].[__No measures defined]" caption="__No measures defined" measure="1" displayFolder="" count="0" hidden="1"/>
    <cacheHierarchy uniqueName="[Measures].[Count of Category]" caption="Count of Category" measure="1" displayFolder="" measureGroup="Products"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pivotCacheId="59063709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5A4410-7B4A-490A-A8EB-FECA03E06EE8}" name="PivotTable2" cacheId="6" applyNumberFormats="0" applyBorderFormats="0" applyFontFormats="0" applyPatternFormats="0" applyAlignmentFormats="0" applyWidthHeightFormats="1" dataCaption="Values" tag="44a26ffa-b48d-4c8d-99d0-60197509de46" updatedVersion="8" minRefreshableVersion="5" subtotalHiddenItems="1" itemPrintTitles="1" createdVersion="5" indent="0" outline="1" outlineData="1" multipleFieldFilters="0" chartFormat="16">
  <location ref="B3:C16"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chartFormats count="2">
    <chartFormat chart="3" format="5"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Products]"/>
        <x15:activeTabTopLevelEntity name="[Region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E0234EA-2231-4A5E-8853-63AED08882B8}" name="PivotTable1" cacheId="3" applyNumberFormats="0" applyBorderFormats="0" applyFontFormats="0" applyPatternFormats="0" applyAlignmentFormats="0" applyWidthHeightFormats="1" dataCaption="Values" tag="d7d00da3-9109-48e5-8f05-b2fc5852a18e" updatedVersion="8" minRefreshableVersion="5" subtotalHiddenItems="1" itemPrintTitles="1" createdVersion="5" indent="0" outline="1" outlineData="1" multipleFieldFilters="0" chartFormat="25">
  <location ref="B3:C14" firstHeaderRow="1" firstDataRow="1"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5"/>
    </i>
    <i>
      <x v="9"/>
    </i>
    <i>
      <x/>
    </i>
    <i>
      <x v="1"/>
    </i>
    <i>
      <x v="7"/>
    </i>
    <i>
      <x v="6"/>
    </i>
    <i>
      <x v="4"/>
    </i>
    <i>
      <x v="2"/>
    </i>
    <i>
      <x v="8"/>
    </i>
    <i>
      <x v="3"/>
    </i>
    <i t="grand">
      <x/>
    </i>
  </rowItems>
  <colItems count="1">
    <i/>
  </colItems>
  <dataFields count="1">
    <dataField fld="1" subtotal="count" baseField="0" baseItem="0"/>
  </dataFields>
  <chartFormats count="2">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includeNewItemsInFilter="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
        <x15:activeTabTopLevelEntity name="[Region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2155EDC-0A31-44BE-84DB-C509836D9045}" name="PivotTable3" cacheId="4" applyNumberFormats="0" applyBorderFormats="0" applyFontFormats="0" applyPatternFormats="0" applyAlignmentFormats="0" applyWidthHeightFormats="1" dataCaption="Values" tag="ba99ea75-3b73-45e6-b17d-c122b0339d93" updatedVersion="8" minRefreshableVersion="5" subtotalHiddenItems="1" itemPrintTitles="1" createdVersion="5" indent="0" outline="1" outlineData="1" multipleFieldFilters="0" chartFormat="14">
  <location ref="B3:E10"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2"/>
  </rowFields>
  <rowItems count="7">
    <i>
      <x/>
    </i>
    <i>
      <x v="1"/>
    </i>
    <i>
      <x v="2"/>
    </i>
    <i>
      <x v="3"/>
    </i>
    <i>
      <x v="4"/>
    </i>
    <i>
      <x v="5"/>
    </i>
    <i t="grand">
      <x/>
    </i>
  </rowItems>
  <colFields count="1">
    <field x="-2"/>
  </colFields>
  <colItems count="3">
    <i>
      <x/>
    </i>
    <i i="1">
      <x v="1"/>
    </i>
    <i i="2">
      <x v="2"/>
    </i>
  </colItems>
  <dataFields count="3">
    <dataField fld="0" subtotal="count" baseField="0" baseItem="0"/>
    <dataField fld="1" subtotal="count" baseField="0" baseItem="0"/>
    <dataField fld="3" subtotal="count" baseField="0" baseItem="0"/>
  </dataField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Hierarchies count="4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s]"/>
        <x15:activeTabTopLevelEntity name="[Sales]"/>
        <x15:activeTabTopLevelEntity name="[Product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7E0939-B2BA-4E6A-AE56-070827EDBB27}" name="PivotTable8" cacheId="2" applyNumberFormats="0" applyBorderFormats="0" applyFontFormats="0" applyPatternFormats="0" applyAlignmentFormats="0" applyWidthHeightFormats="1" dataCaption="Values" tag="c0bdedb5-71fc-4b7c-9ed6-918ebfab898a" updatedVersion="8" minRefreshableVersion="5" useAutoFormatting="1" subtotalHiddenItems="1" itemPrintTitles="1" createdVersion="8" indent="0" outline="1" outlineData="1" multipleFieldFilters="0">
  <location ref="A3:B81" firstHeaderRow="1" firstDataRow="1" firstDataCol="1"/>
  <pivotFields count="3">
    <pivotField axis="axisRow" allDrilled="1" subtotalTop="0" showAll="0" dataSourceSort="1" defaultSubtotal="0" defaultAttributeDrillState="1">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dataField="1" subtotalTop="0" showAll="0" defaultSubtotal="0"/>
    <pivotField allDrilled="1" subtotalTop="0" showAll="0" dataSourceSort="1" defaultSubtotal="0" defaultAttributeDrillState="1"/>
  </pivotFields>
  <rowFields count="1">
    <field x="0"/>
  </rowFields>
  <rowItems count="7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t="grand">
      <x/>
    </i>
  </rowItems>
  <colItems count="1">
    <i/>
  </colItems>
  <dataFields count="1">
    <dataField fld="1" subtotal="count" baseField="0" baseItem="0"/>
  </dataFields>
  <pivotHierarchies count="4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Products]"/>
        <x15:activeTabTopLevelEntity name="[Region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5610E83-706E-43A3-BE1C-76F7168B180E}" name="PivotTable9" cacheId="1" applyNumberFormats="0" applyBorderFormats="0" applyFontFormats="0" applyPatternFormats="0" applyAlignmentFormats="0" applyWidthHeightFormats="1" dataCaption="Values" tag="968e0b66-10a1-4092-a713-f429ed9dea94" updatedVersion="8" minRefreshableVersion="5" useAutoFormatting="1" subtotalHiddenItems="1" itemPrintTitles="1" createdVersion="8" indent="0" outline="1" outlineData="1" multipleFieldFilters="0">
  <location ref="A1:B15" firstHeaderRow="1" firstDataRow="1" firstDataCol="1"/>
  <pivotFields count="3">
    <pivotField axis="axisRow" allDrilled="1" subtotalTop="0" showAll="0" dataSourceSort="1" defaultSubtotal="0" defaultAttributeDrillState="1">
      <items count="13">
        <item x="0"/>
        <item x="1"/>
        <item x="2"/>
        <item x="3"/>
        <item x="4"/>
        <item x="5"/>
        <item x="6"/>
        <item x="7"/>
        <item x="8"/>
        <item x="9"/>
        <item x="10"/>
        <item x="11"/>
        <item x="12"/>
      </items>
    </pivotField>
    <pivotField dataField="1" subtotalTop="0" showAll="0" defaultSubtotal="0"/>
    <pivotField allDrilled="1" subtotalTop="0" showAll="0" dataSourceSort="1" defaultSubtotal="0" defaultAttributeDrillState="1"/>
  </pivotFields>
  <rowFields count="1">
    <field x="0"/>
  </rowFields>
  <rowItems count="14">
    <i>
      <x/>
    </i>
    <i>
      <x v="1"/>
    </i>
    <i>
      <x v="2"/>
    </i>
    <i>
      <x v="3"/>
    </i>
    <i>
      <x v="4"/>
    </i>
    <i>
      <x v="5"/>
    </i>
    <i>
      <x v="6"/>
    </i>
    <i>
      <x v="7"/>
    </i>
    <i>
      <x v="8"/>
    </i>
    <i>
      <x v="9"/>
    </i>
    <i>
      <x v="10"/>
    </i>
    <i>
      <x v="11"/>
    </i>
    <i>
      <x v="12"/>
    </i>
    <i t="grand">
      <x/>
    </i>
  </rowItems>
  <colItems count="1">
    <i/>
  </colItems>
  <dataFields count="1">
    <dataField fld="1" subtotal="count" baseField="0" baseItem="0"/>
  </dataFields>
  <pivotHierarchies count="4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
        <x15:activeTabTopLevelEntity name="[Region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FE9B129-4C17-404F-9776-23B7B09361D6}" name="PivotTable4" cacheId="5" applyNumberFormats="0" applyBorderFormats="0" applyFontFormats="0" applyPatternFormats="0" applyAlignmentFormats="0" applyWidthHeightFormats="1" dataCaption="Values" tag="ece42edb-fe29-4de6-bee9-abb8434bbcd8" updatedVersion="8" minRefreshableVersion="5" useAutoFormatting="1" subtotalHiddenItems="1" itemPrintTitles="1" createdVersion="5" indent="0" outline="1" outlineData="1" multipleFieldFilters="0">
  <location ref="B3:C7"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fld="1" subtotal="count" baseField="0" baseItem="0"/>
  </dataFields>
  <pivotHierarchies count="4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
        <x15:activeTabTopLevelEntity name="[Reg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008B92-0A0D-4A5A-9F4B-AD77B3F91142}" name="PivotTable2" cacheId="0" applyNumberFormats="0" applyBorderFormats="0" applyFontFormats="0" applyPatternFormats="0" applyAlignmentFormats="0" applyWidthHeightFormats="1" dataCaption="Values" tag="0afdd88e-6568-4e0a-8f62-416a8aece7c3" updatedVersion="8" minRefreshableVersion="5" useAutoFormatting="1" subtotalHiddenItems="1" rowGrandTotals="0" itemPrintTitles="1" createdVersion="8" indent="0" outline="1" outlineData="1" multipleFieldFilters="0" rowHeaderCaption="">
  <location ref="A24:G142" firstHeaderRow="0" firstDataRow="1" firstDataCol="1"/>
  <pivotFields count="9">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3">
        <item x="0"/>
        <item x="1"/>
        <item x="2"/>
        <item x="3"/>
        <item x="4"/>
        <item x="5"/>
        <item x="6"/>
        <item x="7"/>
        <item x="8"/>
        <item x="9"/>
        <item x="10"/>
        <item x="11"/>
        <item x="12"/>
      </items>
    </pivotField>
    <pivotField axis="axisRow" allDrilled="1" subtotalTop="0" showAll="0" dataSourceSort="1" defaultSubtotal="0" defaultAttributeDrillState="1">
      <items count="12">
        <item x="0"/>
        <item x="1"/>
        <item x="2"/>
        <item x="3"/>
        <item x="4"/>
        <item x="5"/>
        <item x="6"/>
        <item x="7"/>
        <item x="8"/>
        <item x="9"/>
        <item x="10"/>
        <item x="11"/>
      </items>
    </pivotField>
  </pivotFields>
  <rowFields count="3">
    <field x="8"/>
    <field x="0"/>
    <field x="7"/>
  </rowFields>
  <rowItems count="118">
    <i>
      <x/>
    </i>
    <i r="1">
      <x/>
    </i>
    <i r="2">
      <x/>
    </i>
    <i r="1">
      <x v="1"/>
    </i>
    <i r="2">
      <x v="1"/>
    </i>
    <i r="1">
      <x v="2"/>
    </i>
    <i r="2">
      <x v="2"/>
    </i>
    <i r="2">
      <x v="3"/>
    </i>
    <i>
      <x v="1"/>
    </i>
    <i r="1">
      <x v="3"/>
    </i>
    <i r="2">
      <x v="4"/>
    </i>
    <i r="2">
      <x v="5"/>
    </i>
    <i r="1">
      <x/>
    </i>
    <i r="2">
      <x v="6"/>
    </i>
    <i r="1">
      <x v="2"/>
    </i>
    <i r="2">
      <x v="3"/>
    </i>
    <i r="1">
      <x v="4"/>
    </i>
    <i r="2">
      <x v="7"/>
    </i>
    <i>
      <x v="2"/>
    </i>
    <i r="1">
      <x v="3"/>
    </i>
    <i r="2">
      <x v="4"/>
    </i>
    <i r="2">
      <x v="5"/>
    </i>
    <i r="1">
      <x v="2"/>
    </i>
    <i r="2">
      <x v="8"/>
    </i>
    <i r="2">
      <x v="3"/>
    </i>
    <i>
      <x v="3"/>
    </i>
    <i r="1">
      <x/>
    </i>
    <i r="2">
      <x/>
    </i>
    <i r="1">
      <x v="1"/>
    </i>
    <i r="2">
      <x v="1"/>
    </i>
    <i r="1">
      <x v="2"/>
    </i>
    <i r="2">
      <x v="3"/>
    </i>
    <i r="1">
      <x v="4"/>
    </i>
    <i r="2">
      <x v="7"/>
    </i>
    <i>
      <x v="4"/>
    </i>
    <i r="1">
      <x v="3"/>
    </i>
    <i r="2">
      <x v="9"/>
    </i>
    <i r="1">
      <x v="5"/>
    </i>
    <i r="2">
      <x v="10"/>
    </i>
    <i r="1">
      <x v="1"/>
    </i>
    <i r="2">
      <x v="11"/>
    </i>
    <i r="1">
      <x v="2"/>
    </i>
    <i r="2">
      <x v="2"/>
    </i>
    <i r="2">
      <x v="3"/>
    </i>
    <i r="1">
      <x v="4"/>
    </i>
    <i r="2">
      <x v="12"/>
    </i>
    <i>
      <x v="5"/>
    </i>
    <i r="1">
      <x v="3"/>
    </i>
    <i r="2">
      <x v="9"/>
    </i>
    <i r="1">
      <x v="5"/>
    </i>
    <i r="2">
      <x v="10"/>
    </i>
    <i r="1">
      <x/>
    </i>
    <i r="2">
      <x v="6"/>
    </i>
    <i r="1">
      <x v="2"/>
    </i>
    <i r="2">
      <x v="8"/>
    </i>
    <i>
      <x v="6"/>
    </i>
    <i r="1">
      <x/>
    </i>
    <i r="2">
      <x/>
    </i>
    <i r="1">
      <x v="1"/>
    </i>
    <i r="2">
      <x v="1"/>
    </i>
    <i r="1">
      <x v="2"/>
    </i>
    <i r="2">
      <x v="2"/>
    </i>
    <i r="1">
      <x v="4"/>
    </i>
    <i r="2">
      <x v="12"/>
    </i>
    <i r="2">
      <x v="7"/>
    </i>
    <i>
      <x v="7"/>
    </i>
    <i r="1">
      <x v="3"/>
    </i>
    <i r="2">
      <x v="4"/>
    </i>
    <i r="2">
      <x v="5"/>
    </i>
    <i r="1">
      <x/>
    </i>
    <i r="2">
      <x v="6"/>
    </i>
    <i r="1">
      <x v="2"/>
    </i>
    <i r="2">
      <x v="2"/>
    </i>
    <i r="2">
      <x v="3"/>
    </i>
    <i r="1">
      <x v="4"/>
    </i>
    <i r="2">
      <x v="7"/>
    </i>
    <i>
      <x v="8"/>
    </i>
    <i r="1">
      <x v="3"/>
    </i>
    <i r="2">
      <x v="4"/>
    </i>
    <i r="2">
      <x v="5"/>
    </i>
    <i r="2">
      <x v="9"/>
    </i>
    <i r="1">
      <x/>
    </i>
    <i r="2">
      <x v="6"/>
    </i>
    <i r="1">
      <x v="1"/>
    </i>
    <i r="2">
      <x v="1"/>
    </i>
    <i>
      <x v="9"/>
    </i>
    <i r="1">
      <x v="3"/>
    </i>
    <i r="2">
      <x v="9"/>
    </i>
    <i r="1">
      <x/>
    </i>
    <i r="2">
      <x/>
    </i>
    <i r="1">
      <x v="1"/>
    </i>
    <i r="2">
      <x v="1"/>
    </i>
    <i r="2">
      <x v="11"/>
    </i>
    <i r="1">
      <x v="2"/>
    </i>
    <i r="2">
      <x v="8"/>
    </i>
    <i r="1">
      <x v="4"/>
    </i>
    <i r="2">
      <x v="12"/>
    </i>
    <i r="2">
      <x v="7"/>
    </i>
    <i>
      <x v="10"/>
    </i>
    <i r="1">
      <x v="5"/>
    </i>
    <i r="2">
      <x v="10"/>
    </i>
    <i r="1">
      <x/>
    </i>
    <i r="2">
      <x v="6"/>
    </i>
    <i r="1">
      <x v="1"/>
    </i>
    <i r="2">
      <x v="11"/>
    </i>
    <i r="1">
      <x v="2"/>
    </i>
    <i r="2">
      <x v="3"/>
    </i>
    <i r="1">
      <x v="4"/>
    </i>
    <i r="2">
      <x v="12"/>
    </i>
    <i>
      <x v="11"/>
    </i>
    <i r="1">
      <x v="5"/>
    </i>
    <i r="2">
      <x v="10"/>
    </i>
    <i r="1">
      <x v="1"/>
    </i>
    <i r="2">
      <x v="11"/>
    </i>
    <i r="1">
      <x v="2"/>
    </i>
    <i r="2">
      <x v="8"/>
    </i>
    <i r="1">
      <x v="4"/>
    </i>
    <i r="2">
      <x v="12"/>
    </i>
  </rowItems>
  <colFields count="1">
    <field x="-2"/>
  </colFields>
  <colItems count="6">
    <i>
      <x/>
    </i>
    <i i="1">
      <x v="1"/>
    </i>
    <i i="2">
      <x v="2"/>
    </i>
    <i i="3">
      <x v="3"/>
    </i>
    <i i="4">
      <x v="4"/>
    </i>
    <i i="5">
      <x v="5"/>
    </i>
  </colItems>
  <dataFields count="6">
    <dataField fld="5" subtotal="count" baseField="0" baseItem="0"/>
    <dataField fld="6" subtotal="count" baseField="0" baseItem="0"/>
    <dataField fld="1" subtotal="count" baseField="0" baseItem="0"/>
    <dataField fld="2" subtotal="count" baseField="0" baseItem="0"/>
    <dataField fld="3" subtotal="count" baseField="0" baseItem="0"/>
    <dataField fld="4" subtotal="count" baseField="0" baseItem="0"/>
  </dataFields>
  <formats count="2">
    <format dxfId="19">
      <pivotArea dataOnly="0" labelOnly="1" outline="0" fieldPosition="0">
        <references count="1">
          <reference field="4294967294" count="6">
            <x v="0"/>
            <x v="1"/>
            <x v="2"/>
            <x v="3"/>
            <x v="4"/>
            <x v="5"/>
          </reference>
        </references>
      </pivotArea>
    </format>
    <format dxfId="18">
      <pivotArea field="8" type="button" dataOnly="0" labelOnly="1" outline="0" axis="axisRow" fieldPosition="0"/>
    </format>
  </formats>
  <pivotHierarchies count="4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3">
    <rowHierarchyUsage hierarchyUsage="32"/>
    <rowHierarchyUsage hierarchyUsage="9"/>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Products]"/>
        <x15:activeTabTopLevelEntity name="[Region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83D92C0-5B03-46C6-A487-7D3BFFA2C663}" autoFormatId="16" applyNumberFormats="0" applyBorderFormats="0" applyFontFormats="0" applyPatternFormats="0" applyAlignmentFormats="0" applyWidthHeightFormats="0">
  <queryTableRefresh nextId="8">
    <queryTableFields count="7">
      <queryTableField id="1" name="CustomerID" tableColumnId="1"/>
      <queryTableField id="2" name="CustomerName" tableColumnId="2"/>
      <queryTableField id="3" name="Email" tableColumnId="3"/>
      <queryTableField id="4" name="Phone" tableColumnId="4"/>
      <queryTableField id="5" name="RegionID" tableColumnId="5"/>
      <queryTableField id="6" name="JoinDate" tableColumnId="6"/>
      <queryTableField id="7" name="CustomerType" tableColumnId="7"/>
    </queryTableFields>
  </queryTableRefresh>
  <extLst>
    <ext xmlns:x15="http://schemas.microsoft.com/office/spreadsheetml/2010/11/main" uri="{883FBD77-0823-4a55-B5E3-86C4891E6966}">
      <x15:queryTable sourceDataName="Query - Customer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1081F12-C01A-413D-AC51-4EB2C361AABD}" autoFormatId="16" applyNumberFormats="0" applyBorderFormats="0" applyFontFormats="0" applyPatternFormats="0" applyAlignmentFormats="0" applyWidthHeightFormats="0">
  <queryTableRefresh nextId="7">
    <queryTableFields count="6">
      <queryTableField id="1" name="ProductID" tableColumnId="1"/>
      <queryTableField id="2" name="ProductName" tableColumnId="2"/>
      <queryTableField id="3" name="Category" tableColumnId="3"/>
      <queryTableField id="4" name="Supplier" tableColumnId="4"/>
      <queryTableField id="5" name="UnitCost" tableColumnId="5"/>
      <queryTableField id="6" name="ListPrice" tableColumnId="6"/>
    </queryTableFields>
  </queryTableRefresh>
  <extLst>
    <ext xmlns:x15="http://schemas.microsoft.com/office/spreadsheetml/2010/11/main" uri="{883FBD77-0823-4a55-B5E3-86C4891E6966}">
      <x15:queryTable sourceDataName="Query - Product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C097ED1-4906-4597-85FC-282FFABE32BD}" autoFormatId="16" applyNumberFormats="0" applyBorderFormats="0" applyFontFormats="0" applyPatternFormats="0" applyAlignmentFormats="0" applyWidthHeightFormats="0">
  <queryTableRefresh nextId="7">
    <queryTableFields count="6">
      <queryTableField id="1" name="RegionID" tableColumnId="1"/>
      <queryTableField id="2" name="Country" tableColumnId="2"/>
      <queryTableField id="3" name="State/Province" tableColumnId="3"/>
      <queryTableField id="4" name="City" tableColumnId="4"/>
      <queryTableField id="5" name="PostalCode" tableColumnId="5"/>
      <queryTableField id="6" name="SalesManager" tableColumnId="6"/>
    </queryTableFields>
  </queryTableRefresh>
  <extLst>
    <ext xmlns:x15="http://schemas.microsoft.com/office/spreadsheetml/2010/11/main" uri="{883FBD77-0823-4a55-B5E3-86C4891E6966}">
      <x15:queryTable sourceDataName="Query - Region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27122A4F-93CC-4DB3-96A3-B2D1320C1878}" sourceName="[Products].[Category]">
  <pivotTables>
    <pivotTable tabId="7" name="PivotTable2"/>
    <pivotTable tabId="17" name="PivotTable9"/>
    <pivotTable tabId="15" name="PivotTable8"/>
    <pivotTable tabId="8" name="PivotTable1"/>
    <pivotTable tabId="11" name="PivotTable3"/>
    <pivotTable tabId="12" name="PivotTable4"/>
    <pivotTable tabId="9" name="PivotTable2"/>
  </pivotTables>
  <data>
    <olap pivotCacheId="1427888384">
      <levels count="2">
        <level uniqueName="[Products].[Category].[(All)]" sourceCaption="(All)" count="0"/>
        <level uniqueName="[Products].[Category].[Category]" sourceCaption="Category" count="6">
          <ranges>
            <range startItem="0">
              <i n="[Products].[Category].&amp;[Beauty]" c="Beauty"/>
              <i n="[Products].[Category].&amp;[Books]" c="Books"/>
              <i n="[Products].[Category].&amp;[Clothing]" c="Clothing"/>
              <i n="[Products].[Category].&amp;[Electronics]" c="Electronics"/>
              <i n="[Products].[Category].&amp;[Home &amp; Kitchen]" c="Home &amp; Kitchen"/>
              <i n="[Products].[Category].&amp;[Toys]" c="Toys"/>
            </range>
          </ranges>
        </level>
      </levels>
      <selections count="1">
        <selection n="[Products].[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FF28C5CB-D49D-4762-A044-56656FE18A25}" sourceName="[Regions].[City]">
  <pivotTables>
    <pivotTable tabId="7" name="PivotTable2"/>
    <pivotTable tabId="17" name="PivotTable9"/>
    <pivotTable tabId="8" name="PivotTable1"/>
    <pivotTable tabId="15" name="PivotTable8"/>
    <pivotTable tabId="11" name="PivotTable3"/>
    <pivotTable tabId="12" name="PivotTable4"/>
    <pivotTable tabId="9" name="PivotTable2"/>
  </pivotTables>
  <data>
    <olap pivotCacheId="1427888384">
      <levels count="2">
        <level uniqueName="[Regions].[City].[(All)]" sourceCaption="(All)" count="0"/>
        <level uniqueName="[Regions].[City].[City]" sourceCaption="City" count="4">
          <ranges>
            <range startItem="0">
              <i n="[Regions].[City].&amp;[London]" c="London"/>
              <i n="[Regions].[City].&amp;[Los Angeles]" c="Los Angeles"/>
              <i n="[Regions].[City].&amp;[New York City]" c="New York City"/>
              <i n="[Regions].[City].&amp;[Toronto]" c="Toronto"/>
            </range>
          </ranges>
        </level>
      </levels>
      <selections count="1">
        <selection n="[Regions].[Cit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Type1" xr10:uid="{3BDA8F56-4810-40C4-950B-A497216605A8}" sourceName="[Customers].[CustomerType]">
  <pivotTables>
    <pivotTable tabId="7" name="PivotTable2"/>
    <pivotTable tabId="17" name="PivotTable9"/>
    <pivotTable tabId="8" name="PivotTable1"/>
    <pivotTable tabId="15" name="PivotTable8"/>
    <pivotTable tabId="11" name="PivotTable3"/>
    <pivotTable tabId="12" name="PivotTable4"/>
    <pivotTable tabId="9" name="PivotTable2"/>
  </pivotTables>
  <data>
    <olap pivotCacheId="1427888384">
      <levels count="2">
        <level uniqueName="[Customers].[CustomerType].[(All)]" sourceCaption="(All)" count="0"/>
        <level uniqueName="[Customers].[CustomerType].[CustomerType]" sourceCaption="CustomerType" count="2">
          <ranges>
            <range startItem="0">
              <i n="[Customers].[CustomerType].&amp;[Premium]" c="Premium"/>
              <i n="[Customers].[CustomerType].&amp;[Regular]" c="Regular"/>
            </range>
          </ranges>
        </level>
      </levels>
      <selections count="1">
        <selection n="[Customers].[CustomerTyp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F319D9DC-7D7C-4CB1-A9F3-EEE45CE4690A}" cache="Slicer_Category1" caption="Category" level="1" rowHeight="257175"/>
  <slicer name="City" xr10:uid="{92BB0746-FE1F-4DC4-BF52-6635A87B95A2}" cache="Slicer_City1" caption="City" level="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1CC8FF8B-0341-4BAE-86AB-2342CA0BB668}" cache="Slicer_Category1" caption="Category" startItem="3" level="1" style="SlicerStyleDark3" rowHeight="257175"/>
  <slicer name="City 1" xr10:uid="{D4910EAD-E676-4427-BB4C-E17189223EDA}" cache="Slicer_City1" caption="City" level="1" style="SlicerStyleDark3" rowHeight="257175"/>
  <slicer name="CustomerType" xr10:uid="{CC1D86C7-DB21-4D9B-B023-2260269489C2}" cache="Slicer_CustomerType1" caption="CustomerType" level="1" style="SlicerStyleDark3"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D8EAF7-12B8-439B-B841-F8D01AAFC564}" name="Table1" displayName="Table1" ref="A1:I78" totalsRowShown="0" headerRowDxfId="17">
  <autoFilter ref="A1:I78" xr:uid="{EAD8EAF7-12B8-439B-B841-F8D01AAFC564}"/>
  <tableColumns count="9">
    <tableColumn id="1" xr3:uid="{5318C3A0-22C3-43B5-9090-A4F29B002875}" name="OrderID"/>
    <tableColumn id="2" xr3:uid="{35664154-7899-4CAE-95F1-4231FDBED225}" name="OrderDate" dataDxfId="16"/>
    <tableColumn id="3" xr3:uid="{4B8FDBFB-0EB4-4AC9-BC0A-DCC2473A7FBF}" name="CustomerID"/>
    <tableColumn id="4" xr3:uid="{7ED35CB4-A74A-499C-B276-56D96D9E3AA9}" name="ProductID"/>
    <tableColumn id="5" xr3:uid="{055BDB4F-D05E-4A42-8988-3F13031BF6BF}" name="Quantity"/>
    <tableColumn id="6" xr3:uid="{2FFF4B13-FD27-4542-9483-16217999A1E2}" name="UnitPrice"/>
    <tableColumn id="7" xr3:uid="{3B8599A6-0BB9-4C63-90B2-503D6E049F5D}" name="SalesAmount"/>
    <tableColumn id="8" xr3:uid="{063AFA61-BF80-4A38-8C41-A2C8A2446B20}" name="DiscountRate"/>
    <tableColumn id="9" xr3:uid="{FE9BCF5A-9802-4E9D-B23C-D75E5EC730D2}" name="NetAmou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D4AF2B-3668-46C2-A540-F0DF9559C3FF}" name="Customers" displayName="Customers" ref="A1:G11" tableType="queryTable" totalsRowShown="0">
  <autoFilter ref="A1:G11" xr:uid="{2ED4AF2B-3668-46C2-A540-F0DF9559C3FF}"/>
  <tableColumns count="7">
    <tableColumn id="1" xr3:uid="{5C7E7277-522E-4E4F-AC8C-82E4C0EFB3B1}" uniqueName="1" name="CustomerID" queryTableFieldId="1" dataDxfId="15"/>
    <tableColumn id="2" xr3:uid="{383DE460-6C52-4E40-8090-DB79635D0BD8}" uniqueName="2" name="CustomerName" queryTableFieldId="2" dataDxfId="14"/>
    <tableColumn id="3" xr3:uid="{88DE028A-1086-4D49-B016-11034D7D6DBD}" uniqueName="3" name="Email" queryTableFieldId="3" dataDxfId="13"/>
    <tableColumn id="4" xr3:uid="{50B77D83-B98F-41D2-908F-F196E6DA3FD6}" uniqueName="4" name="Phone" queryTableFieldId="4" dataDxfId="12"/>
    <tableColumn id="5" xr3:uid="{0E12E14A-40AE-41B7-BDB6-5CEF0DADC638}" uniqueName="5" name="RegionID" queryTableFieldId="5" dataDxfId="11"/>
    <tableColumn id="6" xr3:uid="{6DEB9283-4A60-4E00-8464-36572C096E04}" uniqueName="6" name="JoinDate" queryTableFieldId="6" dataDxfId="10"/>
    <tableColumn id="7" xr3:uid="{E9CBD679-E692-4CC7-8BA4-9A5FCF04CC44}" uniqueName="7" name="CustomerType" queryTableFieldId="7"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84176-3C1F-44C3-B02C-D79E96AFE8ED}" name="Products" displayName="Products" ref="A1:F15" tableType="queryTable" totalsRowShown="0">
  <autoFilter ref="A1:F15" xr:uid="{52784176-3C1F-44C3-B02C-D79E96AFE8ED}"/>
  <tableColumns count="6">
    <tableColumn id="1" xr3:uid="{45FDBBCB-F0D0-40FE-BAD1-7DB5D2AD2A1D}" uniqueName="1" name="ProductID" queryTableFieldId="1" dataDxfId="8"/>
    <tableColumn id="2" xr3:uid="{229D42B9-442F-4756-B2B8-E51326CF3E8C}" uniqueName="2" name="ProductName" queryTableFieldId="2" dataDxfId="7"/>
    <tableColumn id="3" xr3:uid="{10674C63-1444-4FA6-84B2-5881A43AB3FA}" uniqueName="3" name="Category" queryTableFieldId="3" dataDxfId="6"/>
    <tableColumn id="4" xr3:uid="{21DB4E70-B23C-41D7-906B-A5BCD40841BC}" uniqueName="4" name="Supplier" queryTableFieldId="4" dataDxfId="5"/>
    <tableColumn id="5" xr3:uid="{A3A09C37-3180-4705-AC5E-1BB0137E9039}" uniqueName="5" name="UnitCost" queryTableFieldId="5"/>
    <tableColumn id="6" xr3:uid="{3EB1D166-20BF-499E-94EB-C395B03806F7}" uniqueName="6" name="ListPrice" queryTableFieldId="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EBC523F-52F5-4DCB-9077-424071638192}" name="Regions" displayName="Regions" ref="A1:F5" tableType="queryTable" totalsRowShown="0">
  <autoFilter ref="A1:F5" xr:uid="{1EBC523F-52F5-4DCB-9077-424071638192}"/>
  <tableColumns count="6">
    <tableColumn id="1" xr3:uid="{C492A436-068F-4675-8617-2EB06CB0F6DC}" uniqueName="1" name="RegionID" queryTableFieldId="1" dataDxfId="4"/>
    <tableColumn id="2" xr3:uid="{EA67D85C-3002-4489-AFCE-01C9F6ED7401}" uniqueName="2" name="Country" queryTableFieldId="2" dataDxfId="3"/>
    <tableColumn id="3" xr3:uid="{62BE653C-8821-48A6-AE77-8405E3B11A4C}" uniqueName="3" name="State/Province" queryTableFieldId="3" dataDxfId="2"/>
    <tableColumn id="4" xr3:uid="{42196B0B-F01D-4247-B8D6-99261EB30C0F}" uniqueName="4" name="City" queryTableFieldId="4" dataDxfId="1"/>
    <tableColumn id="5" xr3:uid="{D7ACEA88-6995-4004-844B-C6EF2075CAFA}" uniqueName="5" name="PostalCode" queryTableFieldId="5"/>
    <tableColumn id="6" xr3:uid="{3ED2B425-562A-4A8E-96F9-3C034A117D88}" uniqueName="6" name="SalesManager"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Date1" xr10:uid="{75DB07F0-F280-4303-B87C-E5359B74C501}" sourceName="[Sales].[OrderDate]">
  <pivotTables>
    <pivotTable tabId="7" name="PivotTable2"/>
    <pivotTable tabId="17" name="PivotTable9"/>
    <pivotTable tabId="11" name="PivotTable3"/>
    <pivotTable tabId="12" name="PivotTable4"/>
    <pivotTable tabId="8" name="PivotTable1"/>
    <pivotTable tabId="15" name="PivotTable8"/>
    <pivotTable tabId="9" name="PivotTable2"/>
  </pivotTables>
  <state minimalRefreshVersion="6" lastRefreshVersion="6" pivotCacheId="590637096" filterType="unknown">
    <bounds startDate="2022-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xr10:uid="{AF7FE95C-0939-4616-8A5C-52E6F84ACFB0}" cache="Timeline_OrderDate1" caption="OrderDate" level="2" selectionLevel="2" scrollPosition="2023-11-09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1" xr10:uid="{D1B474AC-346D-4D5D-8955-2DCD05669425}" cache="Timeline_OrderDate1" caption="OrderDate" level="2" selectionLevel="2" scrollPosition="2024-01-28T00:00:00" style="TimeSlicerStyleDark3"/>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8" Type="http://schemas.microsoft.com/office/2011/relationships/timeline" Target="../timelines/timeline2.xml"/><Relationship Id="rId3" Type="http://schemas.openxmlformats.org/officeDocument/2006/relationships/drawing" Target="../drawings/drawing4.xml"/><Relationship Id="rId7" Type="http://schemas.microsoft.com/office/2007/relationships/slicer" Target="../slicers/slicer2.xml"/><Relationship Id="rId2" Type="http://schemas.openxmlformats.org/officeDocument/2006/relationships/printerSettings" Target="../printerSettings/printerSettings1.bin"/><Relationship Id="rId1" Type="http://schemas.openxmlformats.org/officeDocument/2006/relationships/pivotTable" Target="../pivotTables/pivotTable7.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6FBBD-22F7-4F60-8355-0D48CF14DDE5}">
  <sheetPr codeName="Sheet1"/>
  <dimension ref="A1:I78"/>
  <sheetViews>
    <sheetView topLeftCell="A4" workbookViewId="0">
      <selection activeCell="I5" sqref="I5"/>
    </sheetView>
  </sheetViews>
  <sheetFormatPr defaultRowHeight="15" x14ac:dyDescent="0.25"/>
  <cols>
    <col min="1" max="1" width="10.28515625" customWidth="1"/>
    <col min="2" max="2" width="12.5703125" customWidth="1"/>
    <col min="3" max="3" width="14.140625" customWidth="1"/>
    <col min="4" max="4" width="12.140625" customWidth="1"/>
    <col min="5" max="5" width="10.85546875" customWidth="1"/>
    <col min="6" max="6" width="11.42578125" customWidth="1"/>
    <col min="7" max="8" width="15.42578125" customWidth="1"/>
    <col min="9" max="9" width="13.42578125" customWidth="1"/>
  </cols>
  <sheetData>
    <row r="1" spans="1:9" x14ac:dyDescent="0.25">
      <c r="A1" s="2" t="s">
        <v>75</v>
      </c>
      <c r="B1" s="2" t="s">
        <v>128</v>
      </c>
      <c r="C1" s="2" t="s">
        <v>27</v>
      </c>
      <c r="D1" s="2" t="s">
        <v>76</v>
      </c>
      <c r="E1" s="2" t="s">
        <v>77</v>
      </c>
      <c r="F1" s="2" t="s">
        <v>78</v>
      </c>
      <c r="G1" s="2" t="s">
        <v>156</v>
      </c>
      <c r="H1" s="2" t="s">
        <v>129</v>
      </c>
      <c r="I1" s="2" t="s">
        <v>130</v>
      </c>
    </row>
    <row r="2" spans="1:9" x14ac:dyDescent="0.25">
      <c r="A2">
        <v>1001</v>
      </c>
      <c r="B2" s="1">
        <v>44607</v>
      </c>
      <c r="C2" t="s">
        <v>33</v>
      </c>
      <c r="D2" t="s">
        <v>89</v>
      </c>
      <c r="E2">
        <v>8</v>
      </c>
      <c r="F2">
        <v>82.34</v>
      </c>
      <c r="G2">
        <v>658.72</v>
      </c>
      <c r="H2">
        <v>0</v>
      </c>
      <c r="I2">
        <v>658.72</v>
      </c>
    </row>
    <row r="3" spans="1:9" x14ac:dyDescent="0.25">
      <c r="A3">
        <v>1002</v>
      </c>
      <c r="B3" s="1">
        <v>44620</v>
      </c>
      <c r="C3" t="s">
        <v>43</v>
      </c>
      <c r="D3" t="s">
        <v>81</v>
      </c>
      <c r="E3">
        <v>10</v>
      </c>
      <c r="F3">
        <v>133.75</v>
      </c>
      <c r="G3">
        <v>1337.5</v>
      </c>
      <c r="H3">
        <v>0.05</v>
      </c>
      <c r="I3">
        <v>1270.6300000000001</v>
      </c>
    </row>
    <row r="4" spans="1:9" x14ac:dyDescent="0.25">
      <c r="A4">
        <v>1003</v>
      </c>
      <c r="B4" s="1">
        <v>44630</v>
      </c>
      <c r="C4" t="s">
        <v>38</v>
      </c>
      <c r="D4" t="s">
        <v>79</v>
      </c>
      <c r="E4">
        <v>6</v>
      </c>
      <c r="F4">
        <v>299.41000000000003</v>
      </c>
      <c r="G4">
        <v>1796.46</v>
      </c>
      <c r="H4">
        <v>0</v>
      </c>
      <c r="I4">
        <v>1796.46</v>
      </c>
    </row>
    <row r="5" spans="1:9" x14ac:dyDescent="0.25">
      <c r="A5">
        <v>1004</v>
      </c>
      <c r="B5" s="1">
        <v>44642</v>
      </c>
      <c r="C5" t="s">
        <v>55</v>
      </c>
      <c r="D5" t="s">
        <v>80</v>
      </c>
      <c r="E5">
        <v>4</v>
      </c>
      <c r="F5">
        <v>228.29</v>
      </c>
      <c r="G5">
        <v>913.16</v>
      </c>
      <c r="H5">
        <v>0</v>
      </c>
      <c r="I5">
        <v>913.16</v>
      </c>
    </row>
    <row r="6" spans="1:9" x14ac:dyDescent="0.25">
      <c r="A6">
        <v>1005</v>
      </c>
      <c r="B6" s="1">
        <v>44656</v>
      </c>
      <c r="C6" t="s">
        <v>47</v>
      </c>
      <c r="D6" t="s">
        <v>84</v>
      </c>
      <c r="E6">
        <v>7</v>
      </c>
      <c r="F6">
        <v>459.55</v>
      </c>
      <c r="G6">
        <v>3216.85</v>
      </c>
      <c r="H6">
        <v>0.1</v>
      </c>
      <c r="I6">
        <v>2895.17</v>
      </c>
    </row>
    <row r="7" spans="1:9" x14ac:dyDescent="0.25">
      <c r="A7">
        <v>1006</v>
      </c>
      <c r="B7" s="1">
        <v>44669</v>
      </c>
      <c r="C7" t="s">
        <v>59</v>
      </c>
      <c r="D7" t="s">
        <v>91</v>
      </c>
      <c r="E7">
        <v>12</v>
      </c>
      <c r="F7">
        <v>190.46</v>
      </c>
      <c r="G7">
        <v>2285.52</v>
      </c>
      <c r="H7">
        <v>0</v>
      </c>
      <c r="I7">
        <v>2285.52</v>
      </c>
    </row>
    <row r="8" spans="1:9" x14ac:dyDescent="0.25">
      <c r="A8">
        <v>1007</v>
      </c>
      <c r="B8" s="1">
        <v>44682</v>
      </c>
      <c r="C8" t="s">
        <v>67</v>
      </c>
      <c r="D8" t="s">
        <v>82</v>
      </c>
      <c r="E8">
        <v>3</v>
      </c>
      <c r="F8">
        <v>492.67</v>
      </c>
      <c r="G8">
        <v>1478.01</v>
      </c>
      <c r="H8">
        <v>0</v>
      </c>
      <c r="I8">
        <v>1478.01</v>
      </c>
    </row>
    <row r="9" spans="1:9" x14ac:dyDescent="0.25">
      <c r="A9">
        <v>1008</v>
      </c>
      <c r="B9" s="1">
        <v>44696</v>
      </c>
      <c r="C9" t="s">
        <v>63</v>
      </c>
      <c r="D9" t="s">
        <v>90</v>
      </c>
      <c r="E9">
        <v>4</v>
      </c>
      <c r="F9">
        <v>448.07</v>
      </c>
      <c r="G9">
        <v>1792.28</v>
      </c>
      <c r="H9">
        <v>0.05</v>
      </c>
      <c r="I9">
        <v>1702.67</v>
      </c>
    </row>
    <row r="10" spans="1:9" x14ac:dyDescent="0.25">
      <c r="A10">
        <v>1009</v>
      </c>
      <c r="B10" s="1">
        <v>44711</v>
      </c>
      <c r="C10" t="s">
        <v>51</v>
      </c>
      <c r="D10" t="s">
        <v>85</v>
      </c>
      <c r="E10">
        <v>9</v>
      </c>
      <c r="F10">
        <v>310.33999999999997</v>
      </c>
      <c r="G10">
        <v>2793.06</v>
      </c>
      <c r="H10">
        <v>0</v>
      </c>
      <c r="I10">
        <v>2793.06</v>
      </c>
    </row>
    <row r="11" spans="1:9" x14ac:dyDescent="0.25">
      <c r="A11">
        <v>1010</v>
      </c>
      <c r="B11" s="1">
        <v>44724</v>
      </c>
      <c r="C11" t="s">
        <v>71</v>
      </c>
      <c r="D11" t="s">
        <v>86</v>
      </c>
      <c r="E11">
        <v>11</v>
      </c>
      <c r="F11">
        <v>116.15</v>
      </c>
      <c r="G11">
        <v>1277.6500000000001</v>
      </c>
      <c r="H11">
        <v>0</v>
      </c>
      <c r="I11">
        <v>1277.6500000000001</v>
      </c>
    </row>
    <row r="12" spans="1:9" x14ac:dyDescent="0.25">
      <c r="A12">
        <v>1011</v>
      </c>
      <c r="B12" s="1">
        <v>44737</v>
      </c>
      <c r="C12" t="s">
        <v>33</v>
      </c>
      <c r="D12" t="s">
        <v>87</v>
      </c>
      <c r="E12">
        <v>5</v>
      </c>
      <c r="F12">
        <v>178.07</v>
      </c>
      <c r="G12">
        <v>890.35</v>
      </c>
      <c r="H12">
        <v>0.05</v>
      </c>
      <c r="I12">
        <v>845.83</v>
      </c>
    </row>
    <row r="13" spans="1:9" x14ac:dyDescent="0.25">
      <c r="A13">
        <v>1012</v>
      </c>
      <c r="B13" s="1">
        <v>44750</v>
      </c>
      <c r="C13" t="s">
        <v>43</v>
      </c>
      <c r="D13" t="s">
        <v>83</v>
      </c>
      <c r="E13">
        <v>8</v>
      </c>
      <c r="F13">
        <v>369.02</v>
      </c>
      <c r="G13">
        <v>2952.16</v>
      </c>
      <c r="H13">
        <v>0</v>
      </c>
      <c r="I13">
        <v>2952.16</v>
      </c>
    </row>
    <row r="14" spans="1:9" x14ac:dyDescent="0.25">
      <c r="A14">
        <v>1013</v>
      </c>
      <c r="B14" s="1">
        <v>44763</v>
      </c>
      <c r="C14" t="s">
        <v>38</v>
      </c>
      <c r="D14" t="s">
        <v>88</v>
      </c>
      <c r="E14">
        <v>10</v>
      </c>
      <c r="F14">
        <v>131.91</v>
      </c>
      <c r="G14">
        <v>1319.1</v>
      </c>
      <c r="H14">
        <v>0.1</v>
      </c>
      <c r="I14">
        <v>1187.19</v>
      </c>
    </row>
    <row r="15" spans="1:9" x14ac:dyDescent="0.25">
      <c r="A15">
        <v>1014</v>
      </c>
      <c r="B15" s="1">
        <v>44776</v>
      </c>
      <c r="C15" t="s">
        <v>51</v>
      </c>
      <c r="D15" t="s">
        <v>89</v>
      </c>
      <c r="E15">
        <v>7</v>
      </c>
      <c r="F15">
        <v>82.34</v>
      </c>
      <c r="G15">
        <v>576.38</v>
      </c>
      <c r="H15">
        <v>0</v>
      </c>
      <c r="I15">
        <v>576.38</v>
      </c>
    </row>
    <row r="16" spans="1:9" x14ac:dyDescent="0.25">
      <c r="A16">
        <v>1015</v>
      </c>
      <c r="B16" s="1">
        <v>44789</v>
      </c>
      <c r="C16" t="s">
        <v>55</v>
      </c>
      <c r="D16" t="s">
        <v>81</v>
      </c>
      <c r="E16">
        <v>6</v>
      </c>
      <c r="F16">
        <v>133.75</v>
      </c>
      <c r="G16">
        <v>802.5</v>
      </c>
      <c r="H16">
        <v>0.05</v>
      </c>
      <c r="I16">
        <v>762.38</v>
      </c>
    </row>
    <row r="17" spans="1:9" x14ac:dyDescent="0.25">
      <c r="A17">
        <v>1016</v>
      </c>
      <c r="B17" s="1">
        <v>44802</v>
      </c>
      <c r="C17" t="s">
        <v>47</v>
      </c>
      <c r="D17" t="s">
        <v>85</v>
      </c>
      <c r="E17">
        <v>4</v>
      </c>
      <c r="F17">
        <v>310.33999999999997</v>
      </c>
      <c r="G17">
        <v>1241.3599999999999</v>
      </c>
      <c r="H17">
        <v>0</v>
      </c>
      <c r="I17">
        <v>1241.3599999999999</v>
      </c>
    </row>
    <row r="18" spans="1:9" x14ac:dyDescent="0.25">
      <c r="A18">
        <v>1017</v>
      </c>
      <c r="B18" s="1">
        <v>44815</v>
      </c>
      <c r="C18" t="s">
        <v>67</v>
      </c>
      <c r="D18" t="s">
        <v>125</v>
      </c>
      <c r="E18">
        <v>9</v>
      </c>
      <c r="F18">
        <v>189.2</v>
      </c>
      <c r="G18">
        <v>1702.8</v>
      </c>
      <c r="H18">
        <v>0</v>
      </c>
      <c r="I18">
        <v>1702.8</v>
      </c>
    </row>
    <row r="19" spans="1:9" x14ac:dyDescent="0.25">
      <c r="A19">
        <v>1018</v>
      </c>
      <c r="B19" s="1">
        <v>44828</v>
      </c>
      <c r="C19" t="s">
        <v>63</v>
      </c>
      <c r="D19" t="s">
        <v>91</v>
      </c>
      <c r="E19">
        <v>3</v>
      </c>
      <c r="F19">
        <v>190.46</v>
      </c>
      <c r="G19">
        <v>571.38</v>
      </c>
      <c r="H19">
        <v>0.1</v>
      </c>
      <c r="I19">
        <v>514.24</v>
      </c>
    </row>
    <row r="20" spans="1:9" x14ac:dyDescent="0.25">
      <c r="A20">
        <v>1019</v>
      </c>
      <c r="B20" s="1">
        <v>44841</v>
      </c>
      <c r="C20" t="s">
        <v>59</v>
      </c>
      <c r="D20" t="s">
        <v>84</v>
      </c>
      <c r="E20">
        <v>8</v>
      </c>
      <c r="F20">
        <v>459.55</v>
      </c>
      <c r="G20">
        <v>3676.4</v>
      </c>
      <c r="H20">
        <v>0</v>
      </c>
      <c r="I20">
        <v>3676.4</v>
      </c>
    </row>
    <row r="21" spans="1:9" x14ac:dyDescent="0.25">
      <c r="A21">
        <v>1020</v>
      </c>
      <c r="B21" s="1">
        <v>44854</v>
      </c>
      <c r="C21" t="s">
        <v>71</v>
      </c>
      <c r="D21" t="s">
        <v>80</v>
      </c>
      <c r="E21">
        <v>5</v>
      </c>
      <c r="F21">
        <v>228.29</v>
      </c>
      <c r="G21">
        <v>1141.45</v>
      </c>
      <c r="H21">
        <v>0.05</v>
      </c>
      <c r="I21">
        <v>1084.3800000000001</v>
      </c>
    </row>
    <row r="22" spans="1:9" x14ac:dyDescent="0.25">
      <c r="A22">
        <v>1021</v>
      </c>
      <c r="B22" s="1">
        <v>44867</v>
      </c>
      <c r="C22" t="s">
        <v>33</v>
      </c>
      <c r="D22" t="s">
        <v>82</v>
      </c>
      <c r="E22">
        <v>6</v>
      </c>
      <c r="F22">
        <v>492.67</v>
      </c>
      <c r="G22">
        <v>2956.02</v>
      </c>
      <c r="H22">
        <v>0</v>
      </c>
      <c r="I22">
        <v>2956.02</v>
      </c>
    </row>
    <row r="23" spans="1:9" x14ac:dyDescent="0.25">
      <c r="A23">
        <v>1022</v>
      </c>
      <c r="B23" s="1">
        <v>44880</v>
      </c>
      <c r="C23" t="s">
        <v>38</v>
      </c>
      <c r="D23" t="s">
        <v>87</v>
      </c>
      <c r="E23">
        <v>4</v>
      </c>
      <c r="F23">
        <v>178.07</v>
      </c>
      <c r="G23">
        <v>712.28</v>
      </c>
      <c r="H23">
        <v>0</v>
      </c>
      <c r="I23">
        <v>712.28</v>
      </c>
    </row>
    <row r="24" spans="1:9" x14ac:dyDescent="0.25">
      <c r="A24">
        <v>1023</v>
      </c>
      <c r="B24" s="1">
        <v>44893</v>
      </c>
      <c r="C24" t="s">
        <v>43</v>
      </c>
      <c r="D24" t="s">
        <v>90</v>
      </c>
      <c r="E24">
        <v>7</v>
      </c>
      <c r="F24">
        <v>448.07</v>
      </c>
      <c r="G24">
        <v>3136.49</v>
      </c>
      <c r="H24">
        <v>0.1</v>
      </c>
      <c r="I24">
        <v>2822.84</v>
      </c>
    </row>
    <row r="25" spans="1:9" x14ac:dyDescent="0.25">
      <c r="A25">
        <v>1024</v>
      </c>
      <c r="B25" s="1">
        <v>44906</v>
      </c>
      <c r="C25" t="s">
        <v>55</v>
      </c>
      <c r="D25" t="s">
        <v>86</v>
      </c>
      <c r="E25">
        <v>9</v>
      </c>
      <c r="F25">
        <v>116.15</v>
      </c>
      <c r="G25">
        <v>1045.3499999999999</v>
      </c>
      <c r="H25">
        <v>0</v>
      </c>
      <c r="I25">
        <v>1045.3499999999999</v>
      </c>
    </row>
    <row r="26" spans="1:9" x14ac:dyDescent="0.25">
      <c r="A26">
        <v>1025</v>
      </c>
      <c r="B26" s="1">
        <v>44919</v>
      </c>
      <c r="C26" t="s">
        <v>51</v>
      </c>
      <c r="D26" t="s">
        <v>83</v>
      </c>
      <c r="E26">
        <v>5</v>
      </c>
      <c r="F26">
        <v>369.02</v>
      </c>
      <c r="G26">
        <v>1845.1</v>
      </c>
      <c r="H26">
        <v>0.05</v>
      </c>
      <c r="I26">
        <v>1752.85</v>
      </c>
    </row>
    <row r="27" spans="1:9" x14ac:dyDescent="0.25">
      <c r="A27">
        <v>1026</v>
      </c>
      <c r="B27" s="1">
        <v>44932</v>
      </c>
      <c r="C27" t="s">
        <v>47</v>
      </c>
      <c r="D27" t="s">
        <v>81</v>
      </c>
      <c r="E27">
        <v>7</v>
      </c>
      <c r="F27">
        <v>133.75</v>
      </c>
      <c r="G27">
        <v>936.25</v>
      </c>
      <c r="H27">
        <v>0</v>
      </c>
      <c r="I27">
        <v>936.25</v>
      </c>
    </row>
    <row r="28" spans="1:9" x14ac:dyDescent="0.25">
      <c r="A28">
        <v>1027</v>
      </c>
      <c r="B28" s="1">
        <v>44945</v>
      </c>
      <c r="C28" t="s">
        <v>38</v>
      </c>
      <c r="D28" t="s">
        <v>85</v>
      </c>
      <c r="E28">
        <v>8</v>
      </c>
      <c r="F28">
        <v>310.33999999999997</v>
      </c>
      <c r="G28">
        <v>2482.7199999999998</v>
      </c>
      <c r="H28">
        <v>0.05</v>
      </c>
      <c r="I28">
        <v>2358.58</v>
      </c>
    </row>
    <row r="29" spans="1:9" x14ac:dyDescent="0.25">
      <c r="A29">
        <v>1028</v>
      </c>
      <c r="B29" s="1">
        <v>44958</v>
      </c>
      <c r="C29" t="s">
        <v>59</v>
      </c>
      <c r="D29" t="s">
        <v>87</v>
      </c>
      <c r="E29">
        <v>6</v>
      </c>
      <c r="F29">
        <v>178.07</v>
      </c>
      <c r="G29">
        <v>1068.42</v>
      </c>
      <c r="H29">
        <v>0</v>
      </c>
      <c r="I29">
        <v>1068.42</v>
      </c>
    </row>
    <row r="30" spans="1:9" x14ac:dyDescent="0.25">
      <c r="A30">
        <v>1029</v>
      </c>
      <c r="B30" s="1">
        <v>44971</v>
      </c>
      <c r="C30" t="s">
        <v>33</v>
      </c>
      <c r="D30" t="s">
        <v>79</v>
      </c>
      <c r="E30">
        <v>9</v>
      </c>
      <c r="F30">
        <v>299.41000000000003</v>
      </c>
      <c r="G30">
        <v>2694.69</v>
      </c>
      <c r="H30">
        <v>0.1</v>
      </c>
      <c r="I30">
        <v>2425.2199999999998</v>
      </c>
    </row>
    <row r="31" spans="1:9" x14ac:dyDescent="0.25">
      <c r="A31">
        <v>1030</v>
      </c>
      <c r="B31" s="1">
        <v>44984</v>
      </c>
      <c r="C31" t="s">
        <v>43</v>
      </c>
      <c r="D31" t="s">
        <v>88</v>
      </c>
      <c r="E31">
        <v>5</v>
      </c>
      <c r="F31">
        <v>131.91</v>
      </c>
      <c r="G31">
        <v>659.55</v>
      </c>
      <c r="H31">
        <v>0</v>
      </c>
      <c r="I31">
        <v>659.55</v>
      </c>
    </row>
    <row r="32" spans="1:9" x14ac:dyDescent="0.25">
      <c r="A32">
        <v>1031</v>
      </c>
      <c r="B32" s="1">
        <v>44997</v>
      </c>
      <c r="C32" t="s">
        <v>63</v>
      </c>
      <c r="D32" t="s">
        <v>89</v>
      </c>
      <c r="E32">
        <v>12</v>
      </c>
      <c r="F32">
        <v>82.34</v>
      </c>
      <c r="G32">
        <v>988.08</v>
      </c>
      <c r="H32">
        <v>0</v>
      </c>
      <c r="I32">
        <v>988.08</v>
      </c>
    </row>
    <row r="33" spans="1:9" x14ac:dyDescent="0.25">
      <c r="A33">
        <v>1032</v>
      </c>
      <c r="B33" s="1">
        <v>45010</v>
      </c>
      <c r="C33" t="s">
        <v>71</v>
      </c>
      <c r="D33" t="s">
        <v>82</v>
      </c>
      <c r="E33">
        <v>4</v>
      </c>
      <c r="F33">
        <v>492.67</v>
      </c>
      <c r="G33">
        <v>1970.68</v>
      </c>
      <c r="H33">
        <v>0.05</v>
      </c>
      <c r="I33">
        <v>1872.15</v>
      </c>
    </row>
    <row r="34" spans="1:9" x14ac:dyDescent="0.25">
      <c r="A34">
        <v>1033</v>
      </c>
      <c r="B34" s="1">
        <v>45023</v>
      </c>
      <c r="C34" t="s">
        <v>67</v>
      </c>
      <c r="D34" t="s">
        <v>84</v>
      </c>
      <c r="E34">
        <v>7</v>
      </c>
      <c r="F34">
        <v>459.55</v>
      </c>
      <c r="G34">
        <v>3216.85</v>
      </c>
      <c r="H34">
        <v>0</v>
      </c>
      <c r="I34">
        <v>3216.85</v>
      </c>
    </row>
    <row r="35" spans="1:9" x14ac:dyDescent="0.25">
      <c r="A35">
        <v>1034</v>
      </c>
      <c r="B35" s="1">
        <v>45036</v>
      </c>
      <c r="C35" t="s">
        <v>51</v>
      </c>
      <c r="D35" t="s">
        <v>91</v>
      </c>
      <c r="E35">
        <v>10</v>
      </c>
      <c r="F35">
        <v>190.46</v>
      </c>
      <c r="G35">
        <v>1904.6</v>
      </c>
      <c r="H35">
        <v>0.1</v>
      </c>
      <c r="I35">
        <v>1714.14</v>
      </c>
    </row>
    <row r="36" spans="1:9" x14ac:dyDescent="0.25">
      <c r="A36">
        <v>1035</v>
      </c>
      <c r="B36" s="1">
        <v>45049</v>
      </c>
      <c r="C36" t="s">
        <v>55</v>
      </c>
      <c r="D36" t="s">
        <v>125</v>
      </c>
      <c r="E36">
        <v>6</v>
      </c>
      <c r="F36">
        <v>189.2</v>
      </c>
      <c r="G36">
        <v>1135.2</v>
      </c>
      <c r="H36">
        <v>0</v>
      </c>
      <c r="I36">
        <v>1135.2</v>
      </c>
    </row>
    <row r="37" spans="1:9" x14ac:dyDescent="0.25">
      <c r="A37">
        <v>1036</v>
      </c>
      <c r="B37" s="1">
        <v>45062</v>
      </c>
      <c r="C37" t="s">
        <v>38</v>
      </c>
      <c r="D37" t="s">
        <v>83</v>
      </c>
      <c r="E37">
        <v>8</v>
      </c>
      <c r="F37">
        <v>369.02</v>
      </c>
      <c r="G37">
        <v>2952.16</v>
      </c>
      <c r="H37">
        <v>0.05</v>
      </c>
      <c r="I37">
        <v>2804.55</v>
      </c>
    </row>
    <row r="38" spans="1:9" x14ac:dyDescent="0.25">
      <c r="A38">
        <v>1037</v>
      </c>
      <c r="B38" s="1">
        <v>45075</v>
      </c>
      <c r="C38" t="s">
        <v>33</v>
      </c>
      <c r="D38" t="s">
        <v>90</v>
      </c>
      <c r="E38">
        <v>3</v>
      </c>
      <c r="F38">
        <v>448.07</v>
      </c>
      <c r="G38">
        <v>1344.21</v>
      </c>
      <c r="H38">
        <v>0</v>
      </c>
      <c r="I38">
        <v>1344.21</v>
      </c>
    </row>
    <row r="39" spans="1:9" x14ac:dyDescent="0.25">
      <c r="A39">
        <v>1038</v>
      </c>
      <c r="B39" s="1">
        <v>45088</v>
      </c>
      <c r="C39" t="s">
        <v>43</v>
      </c>
      <c r="D39" t="s">
        <v>86</v>
      </c>
      <c r="E39">
        <v>11</v>
      </c>
      <c r="F39">
        <v>116.15</v>
      </c>
      <c r="G39">
        <v>1277.6500000000001</v>
      </c>
      <c r="H39">
        <v>0.1</v>
      </c>
      <c r="I39">
        <v>1149.8900000000001</v>
      </c>
    </row>
    <row r="40" spans="1:9" x14ac:dyDescent="0.25">
      <c r="A40">
        <v>1039</v>
      </c>
      <c r="B40" s="1">
        <v>45101</v>
      </c>
      <c r="C40" t="s">
        <v>59</v>
      </c>
      <c r="D40" t="s">
        <v>80</v>
      </c>
      <c r="E40">
        <v>5</v>
      </c>
      <c r="F40">
        <v>228.29</v>
      </c>
      <c r="G40">
        <v>1141.45</v>
      </c>
      <c r="H40">
        <v>0</v>
      </c>
      <c r="I40">
        <v>1141.45</v>
      </c>
    </row>
    <row r="41" spans="1:9" x14ac:dyDescent="0.25">
      <c r="A41">
        <v>1040</v>
      </c>
      <c r="B41" s="1">
        <v>45114</v>
      </c>
      <c r="C41" t="s">
        <v>47</v>
      </c>
      <c r="D41" t="s">
        <v>84</v>
      </c>
      <c r="E41">
        <v>9</v>
      </c>
      <c r="F41">
        <v>459.55</v>
      </c>
      <c r="G41">
        <v>4135.95</v>
      </c>
      <c r="H41">
        <v>0.05</v>
      </c>
      <c r="I41">
        <v>3929.15</v>
      </c>
    </row>
    <row r="42" spans="1:9" x14ac:dyDescent="0.25">
      <c r="A42">
        <v>1041</v>
      </c>
      <c r="B42" s="1">
        <v>45127</v>
      </c>
      <c r="C42" t="s">
        <v>63</v>
      </c>
      <c r="D42" t="s">
        <v>85</v>
      </c>
      <c r="E42">
        <v>4</v>
      </c>
      <c r="F42">
        <v>310.33999999999997</v>
      </c>
      <c r="G42">
        <v>1241.3599999999999</v>
      </c>
      <c r="H42">
        <v>0</v>
      </c>
      <c r="I42">
        <v>1241.3599999999999</v>
      </c>
    </row>
    <row r="43" spans="1:9" x14ac:dyDescent="0.25">
      <c r="A43">
        <v>1042</v>
      </c>
      <c r="B43" s="1">
        <v>45140</v>
      </c>
      <c r="C43" t="s">
        <v>71</v>
      </c>
      <c r="D43" t="s">
        <v>81</v>
      </c>
      <c r="E43">
        <v>8</v>
      </c>
      <c r="F43">
        <v>133.75</v>
      </c>
      <c r="G43">
        <v>1070</v>
      </c>
      <c r="H43">
        <v>0.1</v>
      </c>
      <c r="I43">
        <v>963</v>
      </c>
    </row>
    <row r="44" spans="1:9" x14ac:dyDescent="0.25">
      <c r="A44">
        <v>1043</v>
      </c>
      <c r="B44" s="1">
        <v>45153</v>
      </c>
      <c r="C44" t="s">
        <v>67</v>
      </c>
      <c r="D44" t="s">
        <v>79</v>
      </c>
      <c r="E44">
        <v>6</v>
      </c>
      <c r="F44">
        <v>299.41000000000003</v>
      </c>
      <c r="G44">
        <v>1796.46</v>
      </c>
      <c r="H44">
        <v>0</v>
      </c>
      <c r="I44">
        <v>1796.46</v>
      </c>
    </row>
    <row r="45" spans="1:9" x14ac:dyDescent="0.25">
      <c r="A45">
        <v>1044</v>
      </c>
      <c r="B45" s="1">
        <v>45166</v>
      </c>
      <c r="C45" t="s">
        <v>51</v>
      </c>
      <c r="D45" t="s">
        <v>88</v>
      </c>
      <c r="E45">
        <v>7</v>
      </c>
      <c r="F45">
        <v>131.91</v>
      </c>
      <c r="G45">
        <v>923.37</v>
      </c>
      <c r="H45">
        <v>0.05</v>
      </c>
      <c r="I45">
        <v>877.2</v>
      </c>
    </row>
    <row r="46" spans="1:9" x14ac:dyDescent="0.25">
      <c r="A46">
        <v>1045</v>
      </c>
      <c r="B46" s="1">
        <v>45179</v>
      </c>
      <c r="C46" t="s">
        <v>55</v>
      </c>
      <c r="D46" t="s">
        <v>87</v>
      </c>
      <c r="E46">
        <v>10</v>
      </c>
      <c r="F46">
        <v>178.07</v>
      </c>
      <c r="G46">
        <v>1780.7</v>
      </c>
      <c r="H46">
        <v>0</v>
      </c>
      <c r="I46">
        <v>1780.7</v>
      </c>
    </row>
    <row r="47" spans="1:9" x14ac:dyDescent="0.25">
      <c r="A47">
        <v>1046</v>
      </c>
      <c r="B47" s="1">
        <v>45192</v>
      </c>
      <c r="C47" t="s">
        <v>38</v>
      </c>
      <c r="D47" t="s">
        <v>89</v>
      </c>
      <c r="E47">
        <v>5</v>
      </c>
      <c r="F47">
        <v>82.34</v>
      </c>
      <c r="G47">
        <v>411.7</v>
      </c>
      <c r="H47">
        <v>0.1</v>
      </c>
      <c r="I47">
        <v>370.53</v>
      </c>
    </row>
    <row r="48" spans="1:9" x14ac:dyDescent="0.25">
      <c r="A48">
        <v>1047</v>
      </c>
      <c r="B48" s="1">
        <v>45205</v>
      </c>
      <c r="C48" t="s">
        <v>33</v>
      </c>
      <c r="D48" t="s">
        <v>91</v>
      </c>
      <c r="E48">
        <v>8</v>
      </c>
      <c r="F48">
        <v>190.46</v>
      </c>
      <c r="G48">
        <v>1523.68</v>
      </c>
      <c r="H48">
        <v>0</v>
      </c>
      <c r="I48">
        <v>1523.68</v>
      </c>
    </row>
    <row r="49" spans="1:9" x14ac:dyDescent="0.25">
      <c r="A49">
        <v>1048</v>
      </c>
      <c r="B49" s="1">
        <v>45218</v>
      </c>
      <c r="C49" t="s">
        <v>47</v>
      </c>
      <c r="D49" t="s">
        <v>125</v>
      </c>
      <c r="E49">
        <v>6</v>
      </c>
      <c r="F49">
        <v>189.2</v>
      </c>
      <c r="G49">
        <v>1135.2</v>
      </c>
      <c r="H49">
        <v>0.05</v>
      </c>
      <c r="I49">
        <v>1078.44</v>
      </c>
    </row>
    <row r="50" spans="1:9" x14ac:dyDescent="0.25">
      <c r="A50">
        <v>1049</v>
      </c>
      <c r="B50" s="1">
        <v>45231</v>
      </c>
      <c r="C50" t="s">
        <v>43</v>
      </c>
      <c r="D50" t="s">
        <v>83</v>
      </c>
      <c r="E50">
        <v>4</v>
      </c>
      <c r="F50">
        <v>369.02</v>
      </c>
      <c r="G50">
        <v>1476.08</v>
      </c>
      <c r="H50">
        <v>0</v>
      </c>
      <c r="I50">
        <v>1476.08</v>
      </c>
    </row>
    <row r="51" spans="1:9" x14ac:dyDescent="0.25">
      <c r="A51">
        <v>1050</v>
      </c>
      <c r="B51" s="1">
        <v>45244</v>
      </c>
      <c r="C51" t="s">
        <v>59</v>
      </c>
      <c r="D51" t="s">
        <v>82</v>
      </c>
      <c r="E51">
        <v>9</v>
      </c>
      <c r="F51">
        <v>492.67</v>
      </c>
      <c r="G51">
        <v>4434.03</v>
      </c>
      <c r="H51">
        <v>0.1</v>
      </c>
      <c r="I51">
        <v>3990.63</v>
      </c>
    </row>
    <row r="52" spans="1:9" x14ac:dyDescent="0.25">
      <c r="A52">
        <v>1051</v>
      </c>
      <c r="B52" s="1">
        <v>45257</v>
      </c>
      <c r="C52" t="s">
        <v>51</v>
      </c>
      <c r="D52" t="s">
        <v>86</v>
      </c>
      <c r="E52">
        <v>5</v>
      </c>
      <c r="F52">
        <v>116.15</v>
      </c>
      <c r="G52">
        <v>580.75</v>
      </c>
      <c r="H52">
        <v>0</v>
      </c>
      <c r="I52">
        <v>580.75</v>
      </c>
    </row>
    <row r="53" spans="1:9" x14ac:dyDescent="0.25">
      <c r="A53">
        <v>1052</v>
      </c>
      <c r="B53" s="1">
        <v>45270</v>
      </c>
      <c r="C53" t="s">
        <v>63</v>
      </c>
      <c r="D53" t="s">
        <v>80</v>
      </c>
      <c r="E53">
        <v>7</v>
      </c>
      <c r="F53">
        <v>228.29</v>
      </c>
      <c r="G53">
        <v>1598.03</v>
      </c>
      <c r="H53">
        <v>0.05</v>
      </c>
      <c r="I53">
        <v>1518.13</v>
      </c>
    </row>
    <row r="54" spans="1:9" x14ac:dyDescent="0.25">
      <c r="A54">
        <v>1053</v>
      </c>
      <c r="B54" s="1">
        <v>45283</v>
      </c>
      <c r="C54" t="s">
        <v>67</v>
      </c>
      <c r="D54" t="s">
        <v>90</v>
      </c>
      <c r="E54">
        <v>3</v>
      </c>
      <c r="F54">
        <v>448.07</v>
      </c>
      <c r="G54">
        <v>1344.21</v>
      </c>
      <c r="H54">
        <v>0</v>
      </c>
      <c r="I54">
        <v>1344.21</v>
      </c>
    </row>
    <row r="55" spans="1:9" x14ac:dyDescent="0.25">
      <c r="A55">
        <v>1054</v>
      </c>
      <c r="B55" s="1">
        <v>45296</v>
      </c>
      <c r="C55" t="s">
        <v>55</v>
      </c>
      <c r="D55" t="s">
        <v>84</v>
      </c>
      <c r="E55">
        <v>6</v>
      </c>
      <c r="F55">
        <v>459.55</v>
      </c>
      <c r="G55">
        <v>2757.3</v>
      </c>
      <c r="H55">
        <v>0.1</v>
      </c>
      <c r="I55">
        <v>2481.5700000000002</v>
      </c>
    </row>
    <row r="56" spans="1:9" x14ac:dyDescent="0.25">
      <c r="A56">
        <v>1055</v>
      </c>
      <c r="B56" s="1">
        <v>45309</v>
      </c>
      <c r="C56" t="s">
        <v>71</v>
      </c>
      <c r="D56" t="s">
        <v>85</v>
      </c>
      <c r="E56">
        <v>8</v>
      </c>
      <c r="F56">
        <v>310.33999999999997</v>
      </c>
      <c r="G56">
        <v>2482.7199999999998</v>
      </c>
      <c r="H56">
        <v>0</v>
      </c>
      <c r="I56">
        <v>2482.7199999999998</v>
      </c>
    </row>
    <row r="57" spans="1:9" x14ac:dyDescent="0.25">
      <c r="A57">
        <v>1056</v>
      </c>
      <c r="B57" s="1">
        <v>45322</v>
      </c>
      <c r="C57" t="s">
        <v>38</v>
      </c>
      <c r="D57" t="s">
        <v>91</v>
      </c>
      <c r="E57">
        <v>5</v>
      </c>
      <c r="F57">
        <v>190.46</v>
      </c>
      <c r="G57">
        <v>952.3</v>
      </c>
      <c r="H57">
        <v>0.05</v>
      </c>
      <c r="I57">
        <v>904.69</v>
      </c>
    </row>
    <row r="58" spans="1:9" x14ac:dyDescent="0.25">
      <c r="A58">
        <v>1057</v>
      </c>
      <c r="B58" s="1">
        <v>45335</v>
      </c>
      <c r="C58" t="s">
        <v>33</v>
      </c>
      <c r="D58" t="s">
        <v>81</v>
      </c>
      <c r="E58">
        <v>10</v>
      </c>
      <c r="F58">
        <v>133.75</v>
      </c>
      <c r="G58">
        <v>1337.5</v>
      </c>
      <c r="H58">
        <v>0</v>
      </c>
      <c r="I58">
        <v>1337.5</v>
      </c>
    </row>
    <row r="59" spans="1:9" x14ac:dyDescent="0.25">
      <c r="A59">
        <v>1058</v>
      </c>
      <c r="B59" s="1">
        <v>45348</v>
      </c>
      <c r="C59" t="s">
        <v>43</v>
      </c>
      <c r="D59" t="s">
        <v>87</v>
      </c>
      <c r="E59">
        <v>4</v>
      </c>
      <c r="F59">
        <v>178.07</v>
      </c>
      <c r="G59">
        <v>712.28</v>
      </c>
      <c r="H59">
        <v>0.1</v>
      </c>
      <c r="I59">
        <v>641.04999999999995</v>
      </c>
    </row>
    <row r="60" spans="1:9" x14ac:dyDescent="0.25">
      <c r="A60">
        <v>1059</v>
      </c>
      <c r="B60" s="1">
        <v>45361</v>
      </c>
      <c r="C60" t="s">
        <v>59</v>
      </c>
      <c r="D60" t="s">
        <v>89</v>
      </c>
      <c r="E60">
        <v>12</v>
      </c>
      <c r="F60">
        <v>82.34</v>
      </c>
      <c r="G60">
        <v>988.08</v>
      </c>
      <c r="H60">
        <v>0</v>
      </c>
      <c r="I60">
        <v>988.08</v>
      </c>
    </row>
    <row r="61" spans="1:9" x14ac:dyDescent="0.25">
      <c r="A61">
        <v>1060</v>
      </c>
      <c r="B61" s="1">
        <v>45374</v>
      </c>
      <c r="C61" t="s">
        <v>47</v>
      </c>
      <c r="D61" t="s">
        <v>79</v>
      </c>
      <c r="E61">
        <v>7</v>
      </c>
      <c r="F61">
        <v>299.41000000000003</v>
      </c>
      <c r="G61">
        <v>2095.87</v>
      </c>
      <c r="H61">
        <v>0.05</v>
      </c>
      <c r="I61">
        <v>1991.08</v>
      </c>
    </row>
    <row r="62" spans="1:9" x14ac:dyDescent="0.25">
      <c r="A62">
        <v>1061</v>
      </c>
      <c r="B62" s="1">
        <v>45387</v>
      </c>
      <c r="C62" t="s">
        <v>63</v>
      </c>
      <c r="D62" t="s">
        <v>88</v>
      </c>
      <c r="E62">
        <v>9</v>
      </c>
      <c r="F62">
        <v>131.91</v>
      </c>
      <c r="G62">
        <v>1187.19</v>
      </c>
      <c r="H62">
        <v>0</v>
      </c>
      <c r="I62">
        <v>1187.19</v>
      </c>
    </row>
    <row r="63" spans="1:9" x14ac:dyDescent="0.25">
      <c r="A63">
        <v>1062</v>
      </c>
      <c r="B63" s="1">
        <v>45400</v>
      </c>
      <c r="C63" t="s">
        <v>51</v>
      </c>
      <c r="D63" t="s">
        <v>82</v>
      </c>
      <c r="E63">
        <v>3</v>
      </c>
      <c r="F63">
        <v>492.67</v>
      </c>
      <c r="G63">
        <v>1478.01</v>
      </c>
      <c r="H63">
        <v>0.1</v>
      </c>
      <c r="I63">
        <v>1330.21</v>
      </c>
    </row>
    <row r="64" spans="1:9" x14ac:dyDescent="0.25">
      <c r="A64">
        <v>1063</v>
      </c>
      <c r="B64" s="1">
        <v>45413</v>
      </c>
      <c r="C64" t="s">
        <v>67</v>
      </c>
      <c r="D64" t="s">
        <v>83</v>
      </c>
      <c r="E64">
        <v>8</v>
      </c>
      <c r="F64">
        <v>369.02</v>
      </c>
      <c r="G64">
        <v>2952.16</v>
      </c>
      <c r="H64">
        <v>0</v>
      </c>
      <c r="I64">
        <v>2952.16</v>
      </c>
    </row>
    <row r="65" spans="1:9" x14ac:dyDescent="0.25">
      <c r="A65">
        <v>1064</v>
      </c>
      <c r="B65" s="1">
        <v>45426</v>
      </c>
      <c r="C65" t="s">
        <v>38</v>
      </c>
      <c r="D65" t="s">
        <v>90</v>
      </c>
      <c r="E65">
        <v>6</v>
      </c>
      <c r="F65">
        <v>448.07</v>
      </c>
      <c r="G65">
        <v>2688.42</v>
      </c>
      <c r="H65">
        <v>0.05</v>
      </c>
      <c r="I65">
        <v>2554</v>
      </c>
    </row>
    <row r="66" spans="1:9" x14ac:dyDescent="0.25">
      <c r="A66">
        <v>1065</v>
      </c>
      <c r="B66" s="1">
        <v>45439</v>
      </c>
      <c r="C66" t="s">
        <v>55</v>
      </c>
      <c r="D66" t="s">
        <v>86</v>
      </c>
      <c r="E66">
        <v>9</v>
      </c>
      <c r="F66">
        <v>116.15</v>
      </c>
      <c r="G66">
        <v>1045.3499999999999</v>
      </c>
      <c r="H66">
        <v>0</v>
      </c>
      <c r="I66">
        <v>1045.3499999999999</v>
      </c>
    </row>
    <row r="67" spans="1:9" x14ac:dyDescent="0.25">
      <c r="A67">
        <v>1066</v>
      </c>
      <c r="B67" s="1">
        <v>45452</v>
      </c>
      <c r="C67" t="s">
        <v>71</v>
      </c>
      <c r="D67" t="s">
        <v>125</v>
      </c>
      <c r="E67">
        <v>4</v>
      </c>
      <c r="F67">
        <v>189.2</v>
      </c>
      <c r="G67">
        <v>756.8</v>
      </c>
      <c r="H67">
        <v>0.1</v>
      </c>
      <c r="I67">
        <v>681.12</v>
      </c>
    </row>
    <row r="68" spans="1:9" x14ac:dyDescent="0.25">
      <c r="A68">
        <v>1067</v>
      </c>
      <c r="B68" s="1">
        <v>45465</v>
      </c>
      <c r="C68" t="s">
        <v>33</v>
      </c>
      <c r="D68" t="s">
        <v>80</v>
      </c>
      <c r="E68">
        <v>7</v>
      </c>
      <c r="F68">
        <v>228.29</v>
      </c>
      <c r="G68">
        <v>1598.03</v>
      </c>
      <c r="H68">
        <v>0</v>
      </c>
      <c r="I68">
        <v>1598.03</v>
      </c>
    </row>
    <row r="69" spans="1:9" x14ac:dyDescent="0.25">
      <c r="A69">
        <v>1068</v>
      </c>
      <c r="B69" s="1">
        <v>45478</v>
      </c>
      <c r="C69" t="s">
        <v>43</v>
      </c>
      <c r="D69" t="s">
        <v>84</v>
      </c>
      <c r="E69">
        <v>5</v>
      </c>
      <c r="F69">
        <v>459.55</v>
      </c>
      <c r="G69">
        <v>2297.75</v>
      </c>
      <c r="H69">
        <v>0.05</v>
      </c>
      <c r="I69">
        <v>2182.86</v>
      </c>
    </row>
    <row r="70" spans="1:9" x14ac:dyDescent="0.25">
      <c r="A70">
        <v>1069</v>
      </c>
      <c r="B70" s="1">
        <v>45491</v>
      </c>
      <c r="C70" t="s">
        <v>59</v>
      </c>
      <c r="D70" t="s">
        <v>85</v>
      </c>
      <c r="E70">
        <v>8</v>
      </c>
      <c r="F70">
        <v>310.33999999999997</v>
      </c>
      <c r="G70">
        <v>2482.7199999999998</v>
      </c>
      <c r="H70">
        <v>0</v>
      </c>
      <c r="I70">
        <v>2482.7199999999998</v>
      </c>
    </row>
    <row r="71" spans="1:9" x14ac:dyDescent="0.25">
      <c r="A71">
        <v>1070</v>
      </c>
      <c r="B71" s="1">
        <v>45504</v>
      </c>
      <c r="C71" t="s">
        <v>47</v>
      </c>
      <c r="D71" t="s">
        <v>91</v>
      </c>
      <c r="E71">
        <v>6</v>
      </c>
      <c r="F71">
        <v>190.46</v>
      </c>
      <c r="G71">
        <v>1142.76</v>
      </c>
      <c r="H71">
        <v>0.1</v>
      </c>
      <c r="I71">
        <v>1028.48</v>
      </c>
    </row>
    <row r="72" spans="1:9" x14ac:dyDescent="0.25">
      <c r="A72">
        <v>1071</v>
      </c>
      <c r="B72" s="1">
        <v>45517</v>
      </c>
      <c r="C72" t="s">
        <v>63</v>
      </c>
      <c r="D72" t="s">
        <v>81</v>
      </c>
      <c r="E72">
        <v>11</v>
      </c>
      <c r="F72">
        <v>133.75</v>
      </c>
      <c r="G72">
        <v>1471.25</v>
      </c>
      <c r="H72">
        <v>0</v>
      </c>
      <c r="I72">
        <v>1471.25</v>
      </c>
    </row>
    <row r="73" spans="1:9" x14ac:dyDescent="0.25">
      <c r="A73">
        <v>1072</v>
      </c>
      <c r="B73" s="1">
        <v>45530</v>
      </c>
      <c r="C73" t="s">
        <v>67</v>
      </c>
      <c r="D73" t="s">
        <v>87</v>
      </c>
      <c r="E73">
        <v>4</v>
      </c>
      <c r="F73">
        <v>178.07</v>
      </c>
      <c r="G73">
        <v>712.28</v>
      </c>
      <c r="H73">
        <v>0.05</v>
      </c>
      <c r="I73">
        <v>676.67</v>
      </c>
    </row>
    <row r="74" spans="1:9" x14ac:dyDescent="0.25">
      <c r="A74">
        <v>1073</v>
      </c>
      <c r="B74" s="1">
        <v>45543</v>
      </c>
      <c r="C74" t="s">
        <v>51</v>
      </c>
      <c r="D74" t="s">
        <v>89</v>
      </c>
      <c r="E74">
        <v>9</v>
      </c>
      <c r="F74">
        <v>82.34</v>
      </c>
      <c r="G74">
        <v>741.06</v>
      </c>
      <c r="H74">
        <v>0</v>
      </c>
      <c r="I74">
        <v>741.06</v>
      </c>
    </row>
    <row r="75" spans="1:9" x14ac:dyDescent="0.25">
      <c r="A75">
        <v>1074</v>
      </c>
      <c r="B75" s="1">
        <v>45556</v>
      </c>
      <c r="C75" t="s">
        <v>55</v>
      </c>
      <c r="D75" t="s">
        <v>79</v>
      </c>
      <c r="E75">
        <v>5</v>
      </c>
      <c r="F75">
        <v>299.41000000000003</v>
      </c>
      <c r="G75">
        <v>1497.05</v>
      </c>
      <c r="H75">
        <v>0.1</v>
      </c>
      <c r="I75">
        <v>1347.35</v>
      </c>
    </row>
    <row r="76" spans="1:9" x14ac:dyDescent="0.25">
      <c r="A76">
        <v>1075</v>
      </c>
      <c r="B76" s="1">
        <v>45569</v>
      </c>
      <c r="C76" t="s">
        <v>38</v>
      </c>
      <c r="D76" t="s">
        <v>88</v>
      </c>
      <c r="E76">
        <v>8</v>
      </c>
      <c r="F76">
        <v>131.91</v>
      </c>
      <c r="G76">
        <v>1055.28</v>
      </c>
      <c r="H76">
        <v>0</v>
      </c>
      <c r="I76">
        <v>1055.28</v>
      </c>
    </row>
    <row r="77" spans="1:9" x14ac:dyDescent="0.25">
      <c r="A77">
        <v>1076</v>
      </c>
      <c r="B77" s="1">
        <v>45582</v>
      </c>
      <c r="C77" t="s">
        <v>33</v>
      </c>
      <c r="D77" t="s">
        <v>83</v>
      </c>
      <c r="E77">
        <v>6</v>
      </c>
      <c r="F77">
        <v>369.02</v>
      </c>
      <c r="G77">
        <v>2214.12</v>
      </c>
      <c r="H77">
        <v>0.05</v>
      </c>
      <c r="I77">
        <v>2103.41</v>
      </c>
    </row>
    <row r="78" spans="1:9" x14ac:dyDescent="0.25">
      <c r="A78">
        <v>1077</v>
      </c>
      <c r="B78" s="1">
        <v>45595</v>
      </c>
      <c r="C78" t="s">
        <v>71</v>
      </c>
      <c r="D78" t="s">
        <v>90</v>
      </c>
      <c r="E78">
        <v>4</v>
      </c>
      <c r="F78">
        <v>448.07</v>
      </c>
      <c r="G78">
        <v>1792.28</v>
      </c>
      <c r="H78">
        <v>0</v>
      </c>
      <c r="I78">
        <v>1792.28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B2ACE-6B32-4766-BF3C-915778BA5A47}">
  <dimension ref="A1:G11"/>
  <sheetViews>
    <sheetView workbookViewId="0">
      <selection sqref="A1:G11"/>
    </sheetView>
  </sheetViews>
  <sheetFormatPr defaultRowHeight="15" x14ac:dyDescent="0.25"/>
  <cols>
    <col min="1" max="1" width="14.28515625" bestFit="1" customWidth="1"/>
    <col min="2" max="2" width="17.7109375" bestFit="1" customWidth="1"/>
    <col min="3" max="3" width="22.140625" bestFit="1" customWidth="1"/>
    <col min="4" max="4" width="12.42578125" bestFit="1" customWidth="1"/>
    <col min="5" max="5" width="11.5703125" bestFit="1" customWidth="1"/>
    <col min="6" max="6" width="11.140625" bestFit="1" customWidth="1"/>
    <col min="7" max="7" width="16.7109375" bestFit="1" customWidth="1"/>
  </cols>
  <sheetData>
    <row r="1" spans="1:7" x14ac:dyDescent="0.25">
      <c r="A1" t="s">
        <v>27</v>
      </c>
      <c r="B1" t="s">
        <v>28</v>
      </c>
      <c r="C1" t="s">
        <v>29</v>
      </c>
      <c r="D1" t="s">
        <v>30</v>
      </c>
      <c r="E1" t="s">
        <v>0</v>
      </c>
      <c r="F1" t="s">
        <v>31</v>
      </c>
      <c r="G1" t="s">
        <v>32</v>
      </c>
    </row>
    <row r="2" spans="1:7" x14ac:dyDescent="0.25">
      <c r="A2" t="s">
        <v>33</v>
      </c>
      <c r="B2" t="s">
        <v>34</v>
      </c>
      <c r="C2" t="s">
        <v>35</v>
      </c>
      <c r="D2" t="s">
        <v>36</v>
      </c>
      <c r="E2" t="s">
        <v>6</v>
      </c>
      <c r="F2" s="1">
        <v>44941</v>
      </c>
      <c r="G2" t="s">
        <v>37</v>
      </c>
    </row>
    <row r="3" spans="1:7" x14ac:dyDescent="0.25">
      <c r="A3" t="s">
        <v>38</v>
      </c>
      <c r="B3" t="s">
        <v>39</v>
      </c>
      <c r="C3" t="s">
        <v>40</v>
      </c>
      <c r="D3" t="s">
        <v>41</v>
      </c>
      <c r="E3" t="s">
        <v>11</v>
      </c>
      <c r="F3" s="1">
        <v>44960</v>
      </c>
      <c r="G3" t="s">
        <v>42</v>
      </c>
    </row>
    <row r="4" spans="1:7" x14ac:dyDescent="0.25">
      <c r="A4" t="s">
        <v>43</v>
      </c>
      <c r="B4" t="s">
        <v>44</v>
      </c>
      <c r="C4" t="s">
        <v>45</v>
      </c>
      <c r="D4" t="s">
        <v>46</v>
      </c>
      <c r="E4" t="s">
        <v>15</v>
      </c>
      <c r="F4" s="1">
        <v>45006</v>
      </c>
      <c r="G4" t="s">
        <v>37</v>
      </c>
    </row>
    <row r="5" spans="1:7" x14ac:dyDescent="0.25">
      <c r="A5" t="s">
        <v>47</v>
      </c>
      <c r="B5" t="s">
        <v>48</v>
      </c>
      <c r="C5" t="s">
        <v>49</v>
      </c>
      <c r="D5" t="s">
        <v>50</v>
      </c>
      <c r="E5" t="s">
        <v>6</v>
      </c>
      <c r="F5" s="1">
        <v>45028</v>
      </c>
      <c r="G5" t="s">
        <v>42</v>
      </c>
    </row>
    <row r="6" spans="1:7" x14ac:dyDescent="0.25">
      <c r="A6" t="s">
        <v>51</v>
      </c>
      <c r="B6" t="s">
        <v>52</v>
      </c>
      <c r="C6" t="s">
        <v>53</v>
      </c>
      <c r="D6" t="s">
        <v>54</v>
      </c>
      <c r="E6" t="s">
        <v>21</v>
      </c>
      <c r="F6" s="1">
        <v>45051</v>
      </c>
      <c r="G6" t="s">
        <v>37</v>
      </c>
    </row>
    <row r="7" spans="1:7" x14ac:dyDescent="0.25">
      <c r="A7" t="s">
        <v>55</v>
      </c>
      <c r="B7" t="s">
        <v>56</v>
      </c>
      <c r="C7" t="s">
        <v>57</v>
      </c>
      <c r="D7" t="s">
        <v>58</v>
      </c>
      <c r="E7" t="s">
        <v>11</v>
      </c>
      <c r="F7" s="1">
        <v>45095</v>
      </c>
      <c r="G7" t="s">
        <v>42</v>
      </c>
    </row>
    <row r="8" spans="1:7" x14ac:dyDescent="0.25">
      <c r="A8" t="s">
        <v>59</v>
      </c>
      <c r="B8" t="s">
        <v>60</v>
      </c>
      <c r="C8" t="s">
        <v>61</v>
      </c>
      <c r="D8" t="s">
        <v>62</v>
      </c>
      <c r="E8" t="s">
        <v>15</v>
      </c>
      <c r="F8" s="1">
        <v>45114</v>
      </c>
      <c r="G8" t="s">
        <v>37</v>
      </c>
    </row>
    <row r="9" spans="1:7" x14ac:dyDescent="0.25">
      <c r="A9" t="s">
        <v>63</v>
      </c>
      <c r="B9" t="s">
        <v>64</v>
      </c>
      <c r="C9" t="s">
        <v>65</v>
      </c>
      <c r="D9" t="s">
        <v>66</v>
      </c>
      <c r="E9" t="s">
        <v>21</v>
      </c>
      <c r="F9" s="1">
        <v>45160</v>
      </c>
      <c r="G9" t="s">
        <v>42</v>
      </c>
    </row>
    <row r="10" spans="1:7" x14ac:dyDescent="0.25">
      <c r="A10" t="s">
        <v>67</v>
      </c>
      <c r="B10" t="s">
        <v>68</v>
      </c>
      <c r="C10" t="s">
        <v>69</v>
      </c>
      <c r="D10" t="s">
        <v>70</v>
      </c>
      <c r="E10" t="s">
        <v>6</v>
      </c>
      <c r="F10" s="1">
        <v>45183</v>
      </c>
      <c r="G10" t="s">
        <v>37</v>
      </c>
    </row>
    <row r="11" spans="1:7" x14ac:dyDescent="0.25">
      <c r="A11" t="s">
        <v>71</v>
      </c>
      <c r="B11" t="s">
        <v>72</v>
      </c>
      <c r="C11" t="s">
        <v>73</v>
      </c>
      <c r="D11" t="s">
        <v>74</v>
      </c>
      <c r="E11" t="s">
        <v>11</v>
      </c>
      <c r="F11" s="1">
        <v>45229</v>
      </c>
      <c r="G11" t="s">
        <v>42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73922-0748-4601-8D1B-1C86C4917E8B}">
  <dimension ref="A1:F15"/>
  <sheetViews>
    <sheetView workbookViewId="0">
      <selection sqref="A1:F15"/>
    </sheetView>
  </sheetViews>
  <sheetFormatPr defaultRowHeight="15" x14ac:dyDescent="0.25"/>
  <cols>
    <col min="1" max="1" width="12.28515625" bestFit="1" customWidth="1"/>
    <col min="2" max="2" width="15.7109375" bestFit="1" customWidth="1"/>
    <col min="3" max="3" width="15" bestFit="1" customWidth="1"/>
    <col min="4" max="4" width="12.5703125" bestFit="1" customWidth="1"/>
    <col min="5" max="5" width="11.28515625" bestFit="1" customWidth="1"/>
    <col min="6" max="6" width="11.140625" bestFit="1" customWidth="1"/>
  </cols>
  <sheetData>
    <row r="1" spans="1:6" x14ac:dyDescent="0.25">
      <c r="A1" t="s">
        <v>76</v>
      </c>
      <c r="B1" t="s">
        <v>92</v>
      </c>
      <c r="C1" t="s">
        <v>93</v>
      </c>
      <c r="D1" t="s">
        <v>94</v>
      </c>
      <c r="E1" t="s">
        <v>95</v>
      </c>
      <c r="F1" t="s">
        <v>96</v>
      </c>
    </row>
    <row r="2" spans="1:6" x14ac:dyDescent="0.25">
      <c r="A2" t="s">
        <v>89</v>
      </c>
      <c r="B2" t="s">
        <v>97</v>
      </c>
      <c r="C2" t="s">
        <v>98</v>
      </c>
      <c r="D2" t="s">
        <v>99</v>
      </c>
      <c r="E2">
        <v>49.4</v>
      </c>
      <c r="F2">
        <v>82.34</v>
      </c>
    </row>
    <row r="3" spans="1:6" x14ac:dyDescent="0.25">
      <c r="A3" t="s">
        <v>80</v>
      </c>
      <c r="B3" t="s">
        <v>100</v>
      </c>
      <c r="C3" t="s">
        <v>101</v>
      </c>
      <c r="D3" t="s">
        <v>102</v>
      </c>
      <c r="E3">
        <v>136.97</v>
      </c>
      <c r="F3">
        <v>228.29</v>
      </c>
    </row>
    <row r="4" spans="1:6" x14ac:dyDescent="0.25">
      <c r="A4" t="s">
        <v>81</v>
      </c>
      <c r="B4" t="s">
        <v>103</v>
      </c>
      <c r="C4" t="s">
        <v>101</v>
      </c>
      <c r="D4" t="s">
        <v>104</v>
      </c>
      <c r="E4">
        <v>80.25</v>
      </c>
      <c r="F4">
        <v>133.75</v>
      </c>
    </row>
    <row r="5" spans="1:6" x14ac:dyDescent="0.25">
      <c r="A5" t="s">
        <v>82</v>
      </c>
      <c r="B5" t="s">
        <v>103</v>
      </c>
      <c r="C5" t="s">
        <v>101</v>
      </c>
      <c r="D5" t="s">
        <v>105</v>
      </c>
      <c r="E5">
        <v>295.60000000000002</v>
      </c>
      <c r="F5">
        <v>492.67</v>
      </c>
    </row>
    <row r="6" spans="1:6" x14ac:dyDescent="0.25">
      <c r="A6" t="s">
        <v>79</v>
      </c>
      <c r="B6" t="s">
        <v>106</v>
      </c>
      <c r="C6" t="s">
        <v>98</v>
      </c>
      <c r="D6" t="s">
        <v>99</v>
      </c>
      <c r="E6">
        <v>179.65</v>
      </c>
      <c r="F6">
        <v>299.41000000000003</v>
      </c>
    </row>
    <row r="7" spans="1:6" x14ac:dyDescent="0.25">
      <c r="A7" t="s">
        <v>85</v>
      </c>
      <c r="B7" t="s">
        <v>107</v>
      </c>
      <c r="C7" t="s">
        <v>101</v>
      </c>
      <c r="D7" t="s">
        <v>108</v>
      </c>
      <c r="E7">
        <v>186.2</v>
      </c>
      <c r="F7">
        <v>310.33999999999997</v>
      </c>
    </row>
    <row r="8" spans="1:6" x14ac:dyDescent="0.25">
      <c r="A8" t="s">
        <v>83</v>
      </c>
      <c r="B8" t="s">
        <v>109</v>
      </c>
      <c r="C8" t="s">
        <v>110</v>
      </c>
      <c r="D8" t="s">
        <v>111</v>
      </c>
      <c r="E8">
        <v>221.41</v>
      </c>
      <c r="F8">
        <v>369.02</v>
      </c>
    </row>
    <row r="9" spans="1:6" x14ac:dyDescent="0.25">
      <c r="A9" t="s">
        <v>84</v>
      </c>
      <c r="B9" t="s">
        <v>112</v>
      </c>
      <c r="C9" t="s">
        <v>113</v>
      </c>
      <c r="D9" t="s">
        <v>114</v>
      </c>
      <c r="E9">
        <v>275.73</v>
      </c>
      <c r="F9">
        <v>459.55</v>
      </c>
    </row>
    <row r="10" spans="1:6" x14ac:dyDescent="0.25">
      <c r="A10" t="s">
        <v>87</v>
      </c>
      <c r="B10" t="s">
        <v>115</v>
      </c>
      <c r="C10" t="s">
        <v>113</v>
      </c>
      <c r="D10" t="s">
        <v>114</v>
      </c>
      <c r="E10">
        <v>106.84</v>
      </c>
      <c r="F10">
        <v>178.07</v>
      </c>
    </row>
    <row r="11" spans="1:6" x14ac:dyDescent="0.25">
      <c r="A11" t="s">
        <v>91</v>
      </c>
      <c r="B11" t="s">
        <v>116</v>
      </c>
      <c r="C11" t="s">
        <v>117</v>
      </c>
      <c r="D11" t="s">
        <v>118</v>
      </c>
      <c r="E11">
        <v>114.28</v>
      </c>
      <c r="F11">
        <v>190.46</v>
      </c>
    </row>
    <row r="12" spans="1:6" x14ac:dyDescent="0.25">
      <c r="A12" t="s">
        <v>86</v>
      </c>
      <c r="B12" t="s">
        <v>119</v>
      </c>
      <c r="C12" t="s">
        <v>120</v>
      </c>
      <c r="D12" t="s">
        <v>121</v>
      </c>
      <c r="E12">
        <v>69.69</v>
      </c>
      <c r="F12">
        <v>116.15</v>
      </c>
    </row>
    <row r="13" spans="1:6" x14ac:dyDescent="0.25">
      <c r="A13" t="s">
        <v>88</v>
      </c>
      <c r="B13" t="s">
        <v>122</v>
      </c>
      <c r="C13" t="s">
        <v>110</v>
      </c>
      <c r="D13" t="s">
        <v>111</v>
      </c>
      <c r="E13">
        <v>79.150000000000006</v>
      </c>
      <c r="F13">
        <v>131.91</v>
      </c>
    </row>
    <row r="14" spans="1:6" x14ac:dyDescent="0.25">
      <c r="A14" t="s">
        <v>90</v>
      </c>
      <c r="B14" t="s">
        <v>123</v>
      </c>
      <c r="C14" t="s">
        <v>117</v>
      </c>
      <c r="D14" t="s">
        <v>124</v>
      </c>
      <c r="E14">
        <v>268.83999999999997</v>
      </c>
      <c r="F14">
        <v>448.07</v>
      </c>
    </row>
    <row r="15" spans="1:6" x14ac:dyDescent="0.25">
      <c r="A15" t="s">
        <v>125</v>
      </c>
      <c r="B15" t="s">
        <v>126</v>
      </c>
      <c r="C15" t="s">
        <v>98</v>
      </c>
      <c r="D15" t="s">
        <v>127</v>
      </c>
      <c r="E15">
        <v>113.52</v>
      </c>
      <c r="F15">
        <v>189.2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74F9E-15A1-43EA-9579-1E0FC9E3B12E}">
  <dimension ref="A1:F5"/>
  <sheetViews>
    <sheetView workbookViewId="0">
      <selection sqref="A1:F5"/>
    </sheetView>
  </sheetViews>
  <sheetFormatPr defaultRowHeight="15" x14ac:dyDescent="0.25"/>
  <cols>
    <col min="1" max="1" width="11.5703125" bestFit="1" customWidth="1"/>
    <col min="2" max="2" width="15.140625" bestFit="1" customWidth="1"/>
    <col min="3" max="3" width="16.7109375" bestFit="1" customWidth="1"/>
    <col min="4" max="4" width="12.7109375" bestFit="1" customWidth="1"/>
    <col min="5" max="5" width="13.7109375" bestFit="1" customWidth="1"/>
    <col min="6" max="6" width="15.85546875" bestFit="1" customWidth="1"/>
  </cols>
  <sheetData>
    <row r="1" spans="1:6" x14ac:dyDescent="0.25">
      <c r="A1" t="s">
        <v>0</v>
      </c>
      <c r="B1" t="s">
        <v>1</v>
      </c>
      <c r="C1" t="s">
        <v>2</v>
      </c>
      <c r="D1" t="s">
        <v>3</v>
      </c>
      <c r="E1" t="s">
        <v>4</v>
      </c>
      <c r="F1" t="s">
        <v>5</v>
      </c>
    </row>
    <row r="2" spans="1:6" x14ac:dyDescent="0.25">
      <c r="A2" t="s">
        <v>6</v>
      </c>
      <c r="B2" t="s">
        <v>7</v>
      </c>
      <c r="C2" t="s">
        <v>8</v>
      </c>
      <c r="D2" t="s">
        <v>9</v>
      </c>
      <c r="E2" t="s">
        <v>157</v>
      </c>
      <c r="F2" t="s">
        <v>10</v>
      </c>
    </row>
    <row r="3" spans="1:6" x14ac:dyDescent="0.25">
      <c r="A3" t="s">
        <v>11</v>
      </c>
      <c r="B3" t="s">
        <v>7</v>
      </c>
      <c r="C3" t="s">
        <v>12</v>
      </c>
      <c r="D3" t="s">
        <v>13</v>
      </c>
      <c r="E3" t="s">
        <v>158</v>
      </c>
      <c r="F3" t="s">
        <v>14</v>
      </c>
    </row>
    <row r="4" spans="1:6" x14ac:dyDescent="0.25">
      <c r="A4" t="s">
        <v>15</v>
      </c>
      <c r="B4" t="s">
        <v>16</v>
      </c>
      <c r="C4" t="s">
        <v>17</v>
      </c>
      <c r="D4" t="s">
        <v>18</v>
      </c>
      <c r="E4" t="s">
        <v>19</v>
      </c>
      <c r="F4" t="s">
        <v>20</v>
      </c>
    </row>
    <row r="5" spans="1:6" x14ac:dyDescent="0.25">
      <c r="A5" t="s">
        <v>21</v>
      </c>
      <c r="B5" t="s">
        <v>22</v>
      </c>
      <c r="C5" t="s">
        <v>23</v>
      </c>
      <c r="D5" t="s">
        <v>24</v>
      </c>
      <c r="E5" t="s">
        <v>25</v>
      </c>
      <c r="F5" t="s">
        <v>26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0CD76-FA7C-4556-B041-1361BC8AA2EB}">
  <sheetPr codeName="Sheet5"/>
  <dimension ref="B3:C16"/>
  <sheetViews>
    <sheetView workbookViewId="0"/>
  </sheetViews>
  <sheetFormatPr defaultRowHeight="15" x14ac:dyDescent="0.25"/>
  <cols>
    <col min="2" max="2" width="13.42578125" bestFit="1" customWidth="1"/>
    <col min="3" max="3" width="14" bestFit="1" customWidth="1"/>
    <col min="4" max="4" width="19.42578125" bestFit="1" customWidth="1"/>
  </cols>
  <sheetData>
    <row r="3" spans="2:3" x14ac:dyDescent="0.25">
      <c r="B3" s="3" t="s">
        <v>131</v>
      </c>
      <c r="C3" t="s">
        <v>134</v>
      </c>
    </row>
    <row r="4" spans="2:3" x14ac:dyDescent="0.25">
      <c r="B4" s="4" t="s">
        <v>162</v>
      </c>
      <c r="C4" s="5">
        <v>9163.8089999999993</v>
      </c>
    </row>
    <row r="5" spans="2:3" x14ac:dyDescent="0.25">
      <c r="B5" s="4" t="s">
        <v>147</v>
      </c>
      <c r="C5" s="5">
        <v>8061.0880000000006</v>
      </c>
    </row>
    <row r="6" spans="2:3" x14ac:dyDescent="0.25">
      <c r="B6" s="4" t="s">
        <v>148</v>
      </c>
      <c r="C6" s="5">
        <v>8549.0024999999987</v>
      </c>
    </row>
    <row r="7" spans="2:3" x14ac:dyDescent="0.25">
      <c r="B7" s="4" t="s">
        <v>163</v>
      </c>
      <c r="C7" s="5">
        <v>12629.074000000001</v>
      </c>
    </row>
    <row r="8" spans="2:3" x14ac:dyDescent="0.25">
      <c r="B8" s="4" t="s">
        <v>149</v>
      </c>
      <c r="C8" s="5">
        <v>17809.206999999999</v>
      </c>
    </row>
    <row r="9" spans="2:3" x14ac:dyDescent="0.25">
      <c r="B9" s="4" t="s">
        <v>150</v>
      </c>
      <c r="C9" s="5">
        <v>6693.9674999999997</v>
      </c>
    </row>
    <row r="10" spans="2:3" x14ac:dyDescent="0.25">
      <c r="B10" s="4" t="s">
        <v>164</v>
      </c>
      <c r="C10" s="5">
        <v>15003.929</v>
      </c>
    </row>
    <row r="11" spans="2:3" x14ac:dyDescent="0.25">
      <c r="B11" s="4" t="s">
        <v>151</v>
      </c>
      <c r="C11" s="5">
        <v>8364.6924999999992</v>
      </c>
    </row>
    <row r="12" spans="2:3" x14ac:dyDescent="0.25">
      <c r="B12" s="4" t="s">
        <v>152</v>
      </c>
      <c r="C12" s="5">
        <v>6456.6770000000006</v>
      </c>
    </row>
    <row r="13" spans="2:3" x14ac:dyDescent="0.25">
      <c r="B13" s="4" t="s">
        <v>153</v>
      </c>
      <c r="C13" s="5">
        <v>12313.871499999999</v>
      </c>
    </row>
    <row r="14" spans="2:3" x14ac:dyDescent="0.25">
      <c r="B14" s="4" t="s">
        <v>160</v>
      </c>
      <c r="C14" s="5">
        <v>12538.598</v>
      </c>
    </row>
    <row r="15" spans="2:3" x14ac:dyDescent="0.25">
      <c r="B15" s="4" t="s">
        <v>161</v>
      </c>
      <c r="C15" s="5">
        <v>5660.5334999999995</v>
      </c>
    </row>
    <row r="16" spans="2:3" x14ac:dyDescent="0.25">
      <c r="B16" s="4" t="s">
        <v>132</v>
      </c>
      <c r="C16" s="5">
        <v>123244.4495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A3892-DD12-4379-AADB-93961D181A58}">
  <sheetPr codeName="Sheet7"/>
  <dimension ref="B3:C14"/>
  <sheetViews>
    <sheetView tabSelected="1" workbookViewId="0">
      <selection activeCell="C4" sqref="C4"/>
    </sheetView>
  </sheetViews>
  <sheetFormatPr defaultRowHeight="15" x14ac:dyDescent="0.25"/>
  <cols>
    <col min="2" max="2" width="13.42578125" bestFit="1" customWidth="1"/>
    <col min="3" max="3" width="14" bestFit="1" customWidth="1"/>
    <col min="4" max="4" width="7.5703125" bestFit="1" customWidth="1"/>
    <col min="5" max="5" width="6.5703125" bestFit="1" customWidth="1"/>
    <col min="6" max="11" width="7.5703125" bestFit="1" customWidth="1"/>
    <col min="12" max="12" width="6.5703125" bestFit="1" customWidth="1"/>
    <col min="13" max="13" width="7.5703125" bestFit="1" customWidth="1"/>
    <col min="14" max="14" width="6.5703125" bestFit="1" customWidth="1"/>
    <col min="15" max="15" width="7.5703125" bestFit="1" customWidth="1"/>
    <col min="16" max="16" width="6.5703125" bestFit="1" customWidth="1"/>
    <col min="17" max="19" width="7.5703125" bestFit="1" customWidth="1"/>
    <col min="20" max="20" width="6.5703125" bestFit="1" customWidth="1"/>
    <col min="21" max="23" width="7.5703125" bestFit="1" customWidth="1"/>
    <col min="24" max="24" width="6.5703125" bestFit="1" customWidth="1"/>
    <col min="25" max="36" width="7.5703125" bestFit="1" customWidth="1"/>
    <col min="37" max="37" width="6.5703125" bestFit="1" customWidth="1"/>
    <col min="38" max="42" width="7.5703125" bestFit="1" customWidth="1"/>
    <col min="43" max="43" width="6.5703125" bestFit="1" customWidth="1"/>
    <col min="44" max="47" width="7.5703125" bestFit="1" customWidth="1"/>
    <col min="48" max="48" width="6.5703125" bestFit="1" customWidth="1"/>
    <col min="49" max="49" width="7.5703125" bestFit="1" customWidth="1"/>
    <col min="50" max="50" width="6.5703125" bestFit="1" customWidth="1"/>
    <col min="51" max="60" width="7.5703125" bestFit="1" customWidth="1"/>
    <col min="61" max="61" width="6.5703125" bestFit="1" customWidth="1"/>
    <col min="62" max="64" width="7.5703125" bestFit="1" customWidth="1"/>
    <col min="65" max="65" width="11.28515625" bestFit="1" customWidth="1"/>
  </cols>
  <sheetData>
    <row r="3" spans="2:3" x14ac:dyDescent="0.25">
      <c r="B3" s="3" t="s">
        <v>131</v>
      </c>
      <c r="C3" t="s">
        <v>134</v>
      </c>
    </row>
    <row r="4" spans="2:3" x14ac:dyDescent="0.25">
      <c r="B4" s="4" t="s">
        <v>112</v>
      </c>
      <c r="C4" s="5">
        <v>18382</v>
      </c>
    </row>
    <row r="5" spans="2:3" x14ac:dyDescent="0.25">
      <c r="B5" s="4" t="s">
        <v>103</v>
      </c>
      <c r="C5" s="5">
        <v>18368.012000000002</v>
      </c>
    </row>
    <row r="6" spans="2:3" x14ac:dyDescent="0.25">
      <c r="B6" s="4" t="s">
        <v>109</v>
      </c>
      <c r="C6" s="5">
        <v>14041.210999999999</v>
      </c>
    </row>
    <row r="7" spans="2:3" x14ac:dyDescent="0.25">
      <c r="B7" s="4" t="s">
        <v>107</v>
      </c>
      <c r="C7" s="5">
        <v>12599.803999999998</v>
      </c>
    </row>
    <row r="8" spans="2:3" x14ac:dyDescent="0.25">
      <c r="B8" s="4" t="s">
        <v>123</v>
      </c>
      <c r="C8" s="5">
        <v>11560.206</v>
      </c>
    </row>
    <row r="9" spans="2:3" x14ac:dyDescent="0.25">
      <c r="B9" s="4" t="s">
        <v>106</v>
      </c>
      <c r="C9" s="5">
        <v>9356.5625</v>
      </c>
    </row>
    <row r="10" spans="2:3" x14ac:dyDescent="0.25">
      <c r="B10" s="4" t="s">
        <v>116</v>
      </c>
      <c r="C10" s="5">
        <v>7970.7510000000002</v>
      </c>
    </row>
    <row r="11" spans="2:3" x14ac:dyDescent="0.25">
      <c r="B11" s="4" t="s">
        <v>100</v>
      </c>
      <c r="C11" s="5">
        <v>6255.1459999999997</v>
      </c>
    </row>
    <row r="12" spans="2:3" x14ac:dyDescent="0.25">
      <c r="B12" s="4" t="s">
        <v>115</v>
      </c>
      <c r="C12" s="5">
        <v>5724.9504999999999</v>
      </c>
    </row>
    <row r="13" spans="2:3" x14ac:dyDescent="0.25">
      <c r="B13" s="4" t="s">
        <v>119</v>
      </c>
      <c r="C13" s="5">
        <v>5098.9850000000006</v>
      </c>
    </row>
    <row r="14" spans="2:3" x14ac:dyDescent="0.25">
      <c r="B14" s="4" t="s">
        <v>132</v>
      </c>
      <c r="C14" s="5">
        <v>109357.628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FCA9D-11FD-4CCF-82D2-37B4D8F5758C}">
  <sheetPr codeName="Sheet8"/>
  <dimension ref="B3:E10"/>
  <sheetViews>
    <sheetView workbookViewId="0">
      <selection activeCell="E18" sqref="E18"/>
    </sheetView>
  </sheetViews>
  <sheetFormatPr defaultRowHeight="15" x14ac:dyDescent="0.25"/>
  <cols>
    <col min="2" max="2" width="13.42578125" bestFit="1" customWidth="1"/>
    <col min="3" max="3" width="14" bestFit="1" customWidth="1"/>
    <col min="4" max="4" width="10.85546875" bestFit="1" customWidth="1"/>
    <col min="5" max="5" width="12.42578125" bestFit="1" customWidth="1"/>
  </cols>
  <sheetData>
    <row r="3" spans="2:5" x14ac:dyDescent="0.25">
      <c r="B3" s="3" t="s">
        <v>131</v>
      </c>
      <c r="C3" t="s">
        <v>134</v>
      </c>
      <c r="D3" t="s">
        <v>135</v>
      </c>
      <c r="E3" t="s">
        <v>136</v>
      </c>
    </row>
    <row r="4" spans="2:5" x14ac:dyDescent="0.25">
      <c r="B4" s="4" t="s">
        <v>98</v>
      </c>
      <c r="C4" s="5">
        <v>18276.972500000003</v>
      </c>
      <c r="D4" s="5">
        <v>6892.3224999999993</v>
      </c>
      <c r="E4" s="6">
        <v>0.37710416755291382</v>
      </c>
    </row>
    <row r="5" spans="2:5" x14ac:dyDescent="0.25">
      <c r="B5" s="4" t="s">
        <v>120</v>
      </c>
      <c r="C5" s="5">
        <v>5098.9850000000006</v>
      </c>
      <c r="D5" s="5">
        <v>1962.9350000000006</v>
      </c>
      <c r="E5" s="6">
        <v>0.38496583143507979</v>
      </c>
    </row>
    <row r="6" spans="2:5" x14ac:dyDescent="0.25">
      <c r="B6" s="4" t="s">
        <v>113</v>
      </c>
      <c r="C6" s="5">
        <v>24106.950499999999</v>
      </c>
      <c r="D6" s="5">
        <v>9000.570499999998</v>
      </c>
      <c r="E6" s="6">
        <v>0.37335997765457718</v>
      </c>
    </row>
    <row r="7" spans="2:5" x14ac:dyDescent="0.25">
      <c r="B7" s="4" t="s">
        <v>117</v>
      </c>
      <c r="C7" s="5">
        <v>19530.956999999999</v>
      </c>
      <c r="D7" s="5">
        <v>7243.9569999999994</v>
      </c>
      <c r="E7" s="6">
        <v>0.37089616243587037</v>
      </c>
    </row>
    <row r="8" spans="2:5" x14ac:dyDescent="0.25">
      <c r="B8" s="4" t="s">
        <v>101</v>
      </c>
      <c r="C8" s="5">
        <v>37222.962000000007</v>
      </c>
      <c r="D8" s="5">
        <v>14190.602000000003</v>
      </c>
      <c r="E8" s="6">
        <v>0.38123247687811623</v>
      </c>
    </row>
    <row r="9" spans="2:5" x14ac:dyDescent="0.25">
      <c r="B9" s="4" t="s">
        <v>110</v>
      </c>
      <c r="C9" s="5">
        <v>19007.622499999998</v>
      </c>
      <c r="D9" s="5">
        <v>7285.7824999999993</v>
      </c>
      <c r="E9" s="6">
        <v>0.38330845954037651</v>
      </c>
    </row>
    <row r="10" spans="2:5" x14ac:dyDescent="0.25">
      <c r="B10" s="4" t="s">
        <v>132</v>
      </c>
      <c r="C10" s="5">
        <v>123244.4495</v>
      </c>
      <c r="D10" s="5">
        <v>46576.169499999982</v>
      </c>
      <c r="E10" s="6">
        <v>0.37791697467073337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3A721-470C-47D5-B4E1-8C9FC8971D1D}">
  <sheetPr codeName="Sheet13"/>
  <dimension ref="A3:B81"/>
  <sheetViews>
    <sheetView workbookViewId="0">
      <selection activeCell="A27" sqref="A27:B31"/>
    </sheetView>
  </sheetViews>
  <sheetFormatPr defaultRowHeight="15" x14ac:dyDescent="0.25"/>
  <cols>
    <col min="1" max="1" width="13.42578125" bestFit="1" customWidth="1"/>
    <col min="2" max="2" width="12" bestFit="1" customWidth="1"/>
  </cols>
  <sheetData>
    <row r="3" spans="1:2" x14ac:dyDescent="0.25">
      <c r="A3" s="3" t="s">
        <v>131</v>
      </c>
      <c r="B3" t="s">
        <v>145</v>
      </c>
    </row>
    <row r="4" spans="1:2" x14ac:dyDescent="0.25">
      <c r="A4" s="4">
        <v>1001</v>
      </c>
      <c r="B4">
        <v>1</v>
      </c>
    </row>
    <row r="5" spans="1:2" x14ac:dyDescent="0.25">
      <c r="A5" s="4">
        <v>1002</v>
      </c>
      <c r="B5">
        <v>1</v>
      </c>
    </row>
    <row r="6" spans="1:2" x14ac:dyDescent="0.25">
      <c r="A6" s="4">
        <v>1003</v>
      </c>
      <c r="B6">
        <v>1</v>
      </c>
    </row>
    <row r="7" spans="1:2" x14ac:dyDescent="0.25">
      <c r="A7" s="4">
        <v>1004</v>
      </c>
      <c r="B7">
        <v>1</v>
      </c>
    </row>
    <row r="8" spans="1:2" x14ac:dyDescent="0.25">
      <c r="A8" s="4">
        <v>1005</v>
      </c>
      <c r="B8">
        <v>1</v>
      </c>
    </row>
    <row r="9" spans="1:2" x14ac:dyDescent="0.25">
      <c r="A9" s="4">
        <v>1006</v>
      </c>
      <c r="B9">
        <v>1</v>
      </c>
    </row>
    <row r="10" spans="1:2" x14ac:dyDescent="0.25">
      <c r="A10" s="4">
        <v>1007</v>
      </c>
      <c r="B10">
        <v>1</v>
      </c>
    </row>
    <row r="11" spans="1:2" x14ac:dyDescent="0.25">
      <c r="A11" s="4">
        <v>1008</v>
      </c>
      <c r="B11">
        <v>1</v>
      </c>
    </row>
    <row r="12" spans="1:2" x14ac:dyDescent="0.25">
      <c r="A12" s="4">
        <v>1009</v>
      </c>
      <c r="B12">
        <v>1</v>
      </c>
    </row>
    <row r="13" spans="1:2" x14ac:dyDescent="0.25">
      <c r="A13" s="4">
        <v>1010</v>
      </c>
      <c r="B13">
        <v>1</v>
      </c>
    </row>
    <row r="14" spans="1:2" x14ac:dyDescent="0.25">
      <c r="A14" s="4">
        <v>1011</v>
      </c>
      <c r="B14">
        <v>1</v>
      </c>
    </row>
    <row r="15" spans="1:2" x14ac:dyDescent="0.25">
      <c r="A15" s="4">
        <v>1012</v>
      </c>
      <c r="B15">
        <v>1</v>
      </c>
    </row>
    <row r="16" spans="1:2" x14ac:dyDescent="0.25">
      <c r="A16" s="4">
        <v>1013</v>
      </c>
      <c r="B16">
        <v>1</v>
      </c>
    </row>
    <row r="17" spans="1:2" x14ac:dyDescent="0.25">
      <c r="A17" s="4">
        <v>1014</v>
      </c>
      <c r="B17">
        <v>1</v>
      </c>
    </row>
    <row r="18" spans="1:2" x14ac:dyDescent="0.25">
      <c r="A18" s="4">
        <v>1015</v>
      </c>
      <c r="B18">
        <v>1</v>
      </c>
    </row>
    <row r="19" spans="1:2" x14ac:dyDescent="0.25">
      <c r="A19" s="4">
        <v>1016</v>
      </c>
      <c r="B19">
        <v>1</v>
      </c>
    </row>
    <row r="20" spans="1:2" x14ac:dyDescent="0.25">
      <c r="A20" s="4">
        <v>1017</v>
      </c>
      <c r="B20">
        <v>1</v>
      </c>
    </row>
    <row r="21" spans="1:2" x14ac:dyDescent="0.25">
      <c r="A21" s="4">
        <v>1018</v>
      </c>
      <c r="B21">
        <v>1</v>
      </c>
    </row>
    <row r="22" spans="1:2" x14ac:dyDescent="0.25">
      <c r="A22" s="4">
        <v>1019</v>
      </c>
      <c r="B22">
        <v>1</v>
      </c>
    </row>
    <row r="23" spans="1:2" x14ac:dyDescent="0.25">
      <c r="A23" s="4">
        <v>1020</v>
      </c>
      <c r="B23">
        <v>1</v>
      </c>
    </row>
    <row r="24" spans="1:2" x14ac:dyDescent="0.25">
      <c r="A24" s="4">
        <v>1021</v>
      </c>
      <c r="B24">
        <v>1</v>
      </c>
    </row>
    <row r="25" spans="1:2" x14ac:dyDescent="0.25">
      <c r="A25" s="4">
        <v>1022</v>
      </c>
      <c r="B25">
        <v>1</v>
      </c>
    </row>
    <row r="26" spans="1:2" x14ac:dyDescent="0.25">
      <c r="A26" s="4">
        <v>1023</v>
      </c>
      <c r="B26">
        <v>1</v>
      </c>
    </row>
    <row r="27" spans="1:2" x14ac:dyDescent="0.25">
      <c r="A27" s="4">
        <v>1024</v>
      </c>
      <c r="B27">
        <v>1</v>
      </c>
    </row>
    <row r="28" spans="1:2" x14ac:dyDescent="0.25">
      <c r="A28" s="4">
        <v>1025</v>
      </c>
      <c r="B28">
        <v>1</v>
      </c>
    </row>
    <row r="29" spans="1:2" x14ac:dyDescent="0.25">
      <c r="A29" s="4">
        <v>1026</v>
      </c>
      <c r="B29">
        <v>1</v>
      </c>
    </row>
    <row r="30" spans="1:2" x14ac:dyDescent="0.25">
      <c r="A30" s="4">
        <v>1027</v>
      </c>
      <c r="B30">
        <v>1</v>
      </c>
    </row>
    <row r="31" spans="1:2" x14ac:dyDescent="0.25">
      <c r="A31" s="4">
        <v>1028</v>
      </c>
      <c r="B31">
        <v>1</v>
      </c>
    </row>
    <row r="32" spans="1:2" x14ac:dyDescent="0.25">
      <c r="A32" s="4">
        <v>1029</v>
      </c>
      <c r="B32">
        <v>1</v>
      </c>
    </row>
    <row r="33" spans="1:2" x14ac:dyDescent="0.25">
      <c r="A33" s="4">
        <v>1030</v>
      </c>
      <c r="B33">
        <v>1</v>
      </c>
    </row>
    <row r="34" spans="1:2" x14ac:dyDescent="0.25">
      <c r="A34" s="4">
        <v>1031</v>
      </c>
      <c r="B34">
        <v>1</v>
      </c>
    </row>
    <row r="35" spans="1:2" x14ac:dyDescent="0.25">
      <c r="A35" s="4">
        <v>1032</v>
      </c>
      <c r="B35">
        <v>1</v>
      </c>
    </row>
    <row r="36" spans="1:2" x14ac:dyDescent="0.25">
      <c r="A36" s="4">
        <v>1033</v>
      </c>
      <c r="B36">
        <v>1</v>
      </c>
    </row>
    <row r="37" spans="1:2" x14ac:dyDescent="0.25">
      <c r="A37" s="4">
        <v>1034</v>
      </c>
      <c r="B37">
        <v>1</v>
      </c>
    </row>
    <row r="38" spans="1:2" x14ac:dyDescent="0.25">
      <c r="A38" s="4">
        <v>1035</v>
      </c>
      <c r="B38">
        <v>1</v>
      </c>
    </row>
    <row r="39" spans="1:2" x14ac:dyDescent="0.25">
      <c r="A39" s="4">
        <v>1036</v>
      </c>
      <c r="B39">
        <v>1</v>
      </c>
    </row>
    <row r="40" spans="1:2" x14ac:dyDescent="0.25">
      <c r="A40" s="4">
        <v>1037</v>
      </c>
      <c r="B40">
        <v>1</v>
      </c>
    </row>
    <row r="41" spans="1:2" x14ac:dyDescent="0.25">
      <c r="A41" s="4">
        <v>1038</v>
      </c>
      <c r="B41">
        <v>1</v>
      </c>
    </row>
    <row r="42" spans="1:2" x14ac:dyDescent="0.25">
      <c r="A42" s="4">
        <v>1039</v>
      </c>
      <c r="B42">
        <v>1</v>
      </c>
    </row>
    <row r="43" spans="1:2" x14ac:dyDescent="0.25">
      <c r="A43" s="4">
        <v>1040</v>
      </c>
      <c r="B43">
        <v>1</v>
      </c>
    </row>
    <row r="44" spans="1:2" x14ac:dyDescent="0.25">
      <c r="A44" s="4">
        <v>1041</v>
      </c>
      <c r="B44">
        <v>1</v>
      </c>
    </row>
    <row r="45" spans="1:2" x14ac:dyDescent="0.25">
      <c r="A45" s="4">
        <v>1042</v>
      </c>
      <c r="B45">
        <v>1</v>
      </c>
    </row>
    <row r="46" spans="1:2" x14ac:dyDescent="0.25">
      <c r="A46" s="4">
        <v>1043</v>
      </c>
      <c r="B46">
        <v>1</v>
      </c>
    </row>
    <row r="47" spans="1:2" x14ac:dyDescent="0.25">
      <c r="A47" s="4">
        <v>1044</v>
      </c>
      <c r="B47">
        <v>1</v>
      </c>
    </row>
    <row r="48" spans="1:2" x14ac:dyDescent="0.25">
      <c r="A48" s="4">
        <v>1045</v>
      </c>
      <c r="B48">
        <v>1</v>
      </c>
    </row>
    <row r="49" spans="1:2" x14ac:dyDescent="0.25">
      <c r="A49" s="4">
        <v>1046</v>
      </c>
      <c r="B49">
        <v>1</v>
      </c>
    </row>
    <row r="50" spans="1:2" x14ac:dyDescent="0.25">
      <c r="A50" s="4">
        <v>1047</v>
      </c>
      <c r="B50">
        <v>1</v>
      </c>
    </row>
    <row r="51" spans="1:2" x14ac:dyDescent="0.25">
      <c r="A51" s="4">
        <v>1048</v>
      </c>
      <c r="B51">
        <v>1</v>
      </c>
    </row>
    <row r="52" spans="1:2" x14ac:dyDescent="0.25">
      <c r="A52" s="4">
        <v>1049</v>
      </c>
      <c r="B52">
        <v>1</v>
      </c>
    </row>
    <row r="53" spans="1:2" x14ac:dyDescent="0.25">
      <c r="A53" s="4">
        <v>1050</v>
      </c>
      <c r="B53">
        <v>1</v>
      </c>
    </row>
    <row r="54" spans="1:2" x14ac:dyDescent="0.25">
      <c r="A54" s="4">
        <v>1051</v>
      </c>
      <c r="B54">
        <v>1</v>
      </c>
    </row>
    <row r="55" spans="1:2" x14ac:dyDescent="0.25">
      <c r="A55" s="4">
        <v>1052</v>
      </c>
      <c r="B55">
        <v>1</v>
      </c>
    </row>
    <row r="56" spans="1:2" x14ac:dyDescent="0.25">
      <c r="A56" s="4">
        <v>1053</v>
      </c>
      <c r="B56">
        <v>1</v>
      </c>
    </row>
    <row r="57" spans="1:2" x14ac:dyDescent="0.25">
      <c r="A57" s="4">
        <v>1054</v>
      </c>
      <c r="B57">
        <v>1</v>
      </c>
    </row>
    <row r="58" spans="1:2" x14ac:dyDescent="0.25">
      <c r="A58" s="4">
        <v>1055</v>
      </c>
      <c r="B58">
        <v>1</v>
      </c>
    </row>
    <row r="59" spans="1:2" x14ac:dyDescent="0.25">
      <c r="A59" s="4">
        <v>1056</v>
      </c>
      <c r="B59">
        <v>1</v>
      </c>
    </row>
    <row r="60" spans="1:2" x14ac:dyDescent="0.25">
      <c r="A60" s="4">
        <v>1057</v>
      </c>
      <c r="B60">
        <v>1</v>
      </c>
    </row>
    <row r="61" spans="1:2" x14ac:dyDescent="0.25">
      <c r="A61" s="4">
        <v>1058</v>
      </c>
      <c r="B61">
        <v>1</v>
      </c>
    </row>
    <row r="62" spans="1:2" x14ac:dyDescent="0.25">
      <c r="A62" s="4">
        <v>1059</v>
      </c>
      <c r="B62">
        <v>1</v>
      </c>
    </row>
    <row r="63" spans="1:2" x14ac:dyDescent="0.25">
      <c r="A63" s="4">
        <v>1060</v>
      </c>
      <c r="B63">
        <v>1</v>
      </c>
    </row>
    <row r="64" spans="1:2" x14ac:dyDescent="0.25">
      <c r="A64" s="4">
        <v>1061</v>
      </c>
      <c r="B64">
        <v>1</v>
      </c>
    </row>
    <row r="65" spans="1:2" x14ac:dyDescent="0.25">
      <c r="A65" s="4">
        <v>1062</v>
      </c>
      <c r="B65">
        <v>1</v>
      </c>
    </row>
    <row r="66" spans="1:2" x14ac:dyDescent="0.25">
      <c r="A66" s="4">
        <v>1063</v>
      </c>
      <c r="B66">
        <v>1</v>
      </c>
    </row>
    <row r="67" spans="1:2" x14ac:dyDescent="0.25">
      <c r="A67" s="4">
        <v>1064</v>
      </c>
      <c r="B67">
        <v>1</v>
      </c>
    </row>
    <row r="68" spans="1:2" x14ac:dyDescent="0.25">
      <c r="A68" s="4">
        <v>1065</v>
      </c>
      <c r="B68">
        <v>1</v>
      </c>
    </row>
    <row r="69" spans="1:2" x14ac:dyDescent="0.25">
      <c r="A69" s="4">
        <v>1066</v>
      </c>
      <c r="B69">
        <v>1</v>
      </c>
    </row>
    <row r="70" spans="1:2" x14ac:dyDescent="0.25">
      <c r="A70" s="4">
        <v>1067</v>
      </c>
      <c r="B70">
        <v>1</v>
      </c>
    </row>
    <row r="71" spans="1:2" x14ac:dyDescent="0.25">
      <c r="A71" s="4">
        <v>1068</v>
      </c>
      <c r="B71">
        <v>1</v>
      </c>
    </row>
    <row r="72" spans="1:2" x14ac:dyDescent="0.25">
      <c r="A72" s="4">
        <v>1069</v>
      </c>
      <c r="B72">
        <v>1</v>
      </c>
    </row>
    <row r="73" spans="1:2" x14ac:dyDescent="0.25">
      <c r="A73" s="4">
        <v>1070</v>
      </c>
      <c r="B73">
        <v>1</v>
      </c>
    </row>
    <row r="74" spans="1:2" x14ac:dyDescent="0.25">
      <c r="A74" s="4">
        <v>1071</v>
      </c>
      <c r="B74">
        <v>1</v>
      </c>
    </row>
    <row r="75" spans="1:2" x14ac:dyDescent="0.25">
      <c r="A75" s="4">
        <v>1072</v>
      </c>
      <c r="B75">
        <v>1</v>
      </c>
    </row>
    <row r="76" spans="1:2" x14ac:dyDescent="0.25">
      <c r="A76" s="4">
        <v>1073</v>
      </c>
      <c r="B76">
        <v>1</v>
      </c>
    </row>
    <row r="77" spans="1:2" x14ac:dyDescent="0.25">
      <c r="A77" s="4">
        <v>1074</v>
      </c>
      <c r="B77">
        <v>1</v>
      </c>
    </row>
    <row r="78" spans="1:2" x14ac:dyDescent="0.25">
      <c r="A78" s="4">
        <v>1075</v>
      </c>
      <c r="B78">
        <v>1</v>
      </c>
    </row>
    <row r="79" spans="1:2" x14ac:dyDescent="0.25">
      <c r="A79" s="4">
        <v>1076</v>
      </c>
      <c r="B79">
        <v>1</v>
      </c>
    </row>
    <row r="80" spans="1:2" x14ac:dyDescent="0.25">
      <c r="A80" s="4">
        <v>1077</v>
      </c>
      <c r="B80">
        <v>1</v>
      </c>
    </row>
    <row r="81" spans="1:2" x14ac:dyDescent="0.25">
      <c r="A81" s="4" t="s">
        <v>132</v>
      </c>
      <c r="B81">
        <v>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B9699-3597-4554-BF27-F1D03F43CD9D}">
  <sheetPr codeName="Sheet6"/>
  <dimension ref="A1:B15"/>
  <sheetViews>
    <sheetView workbookViewId="0">
      <selection sqref="A1:B15"/>
    </sheetView>
  </sheetViews>
  <sheetFormatPr defaultRowHeight="15" x14ac:dyDescent="0.25"/>
  <cols>
    <col min="1" max="1" width="15.5703125" bestFit="1" customWidth="1"/>
    <col min="2" max="2" width="19.42578125" bestFit="1" customWidth="1"/>
  </cols>
  <sheetData>
    <row r="1" spans="1:2" x14ac:dyDescent="0.25">
      <c r="A1" s="3" t="s">
        <v>131</v>
      </c>
      <c r="B1" t="s">
        <v>146</v>
      </c>
    </row>
    <row r="2" spans="1:2" x14ac:dyDescent="0.25">
      <c r="A2" s="4" t="s">
        <v>109</v>
      </c>
      <c r="B2" s="5">
        <v>2340.2018333333331</v>
      </c>
    </row>
    <row r="3" spans="1:2" x14ac:dyDescent="0.25">
      <c r="A3" s="4" t="s">
        <v>107</v>
      </c>
      <c r="B3" s="5">
        <v>2099.967333333333</v>
      </c>
    </row>
    <row r="4" spans="1:2" x14ac:dyDescent="0.25">
      <c r="A4" s="4" t="s">
        <v>122</v>
      </c>
      <c r="B4" s="5">
        <v>993.28230000000008</v>
      </c>
    </row>
    <row r="5" spans="1:2" x14ac:dyDescent="0.25">
      <c r="A5" s="4" t="s">
        <v>100</v>
      </c>
      <c r="B5" s="5">
        <v>1251.0291999999999</v>
      </c>
    </row>
    <row r="6" spans="1:2" x14ac:dyDescent="0.25">
      <c r="A6" s="4" t="s">
        <v>119</v>
      </c>
      <c r="B6" s="5">
        <v>1019.7970000000001</v>
      </c>
    </row>
    <row r="7" spans="1:2" x14ac:dyDescent="0.25">
      <c r="A7" s="4" t="s">
        <v>97</v>
      </c>
      <c r="B7" s="5">
        <v>720.47500000000002</v>
      </c>
    </row>
    <row r="8" spans="1:2" x14ac:dyDescent="0.25">
      <c r="A8" s="4" t="s">
        <v>116</v>
      </c>
      <c r="B8" s="5">
        <v>1328.4585</v>
      </c>
    </row>
    <row r="9" spans="1:2" x14ac:dyDescent="0.25">
      <c r="A9" s="4" t="s">
        <v>112</v>
      </c>
      <c r="B9" s="5">
        <v>3063.6666666666665</v>
      </c>
    </row>
    <row r="10" spans="1:2" x14ac:dyDescent="0.25">
      <c r="A10" s="4" t="s">
        <v>106</v>
      </c>
      <c r="B10" s="5">
        <v>1871.3125</v>
      </c>
    </row>
    <row r="11" spans="1:2" x14ac:dyDescent="0.25">
      <c r="A11" s="4" t="s">
        <v>126</v>
      </c>
      <c r="B11" s="5">
        <v>1149.3899999999999</v>
      </c>
    </row>
    <row r="12" spans="1:2" x14ac:dyDescent="0.25">
      <c r="A12" s="4" t="s">
        <v>123</v>
      </c>
      <c r="B12" s="5">
        <v>1926.701</v>
      </c>
    </row>
    <row r="13" spans="1:2" x14ac:dyDescent="0.25">
      <c r="A13" s="4" t="s">
        <v>115</v>
      </c>
      <c r="B13" s="5">
        <v>954.15841666666665</v>
      </c>
    </row>
    <row r="14" spans="1:2" x14ac:dyDescent="0.25">
      <c r="A14" s="4" t="s">
        <v>103</v>
      </c>
      <c r="B14" s="5">
        <v>1669.8192727272728</v>
      </c>
    </row>
    <row r="15" spans="1:2" x14ac:dyDescent="0.25">
      <c r="A15" s="4" t="s">
        <v>132</v>
      </c>
      <c r="B15" s="5">
        <v>1600.5772662337663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E30BA-7B7C-43C7-8B84-08325C824600}">
  <sheetPr codeName="Sheet10"/>
  <dimension ref="B3:E7"/>
  <sheetViews>
    <sheetView topLeftCell="A2" workbookViewId="0">
      <selection activeCell="A24" sqref="A24"/>
    </sheetView>
  </sheetViews>
  <sheetFormatPr defaultRowHeight="15" x14ac:dyDescent="0.25"/>
  <cols>
    <col min="2" max="2" width="13.42578125" bestFit="1" customWidth="1"/>
    <col min="3" max="3" width="13.140625" bestFit="1" customWidth="1"/>
    <col min="4" max="4" width="11.7109375" bestFit="1" customWidth="1"/>
    <col min="5" max="5" width="13.28515625" bestFit="1" customWidth="1"/>
  </cols>
  <sheetData>
    <row r="3" spans="2:5" x14ac:dyDescent="0.25">
      <c r="B3" s="3" t="s">
        <v>131</v>
      </c>
      <c r="C3" t="s">
        <v>141</v>
      </c>
      <c r="D3" s="2" t="s">
        <v>142</v>
      </c>
      <c r="E3" s="2" t="s">
        <v>143</v>
      </c>
    </row>
    <row r="4" spans="2:5" x14ac:dyDescent="0.25">
      <c r="B4" s="4" t="s">
        <v>154</v>
      </c>
      <c r="C4" s="5">
        <v>40903.489000000001</v>
      </c>
      <c r="D4" t="s">
        <v>144</v>
      </c>
      <c r="E4" t="s">
        <v>144</v>
      </c>
    </row>
    <row r="5" spans="2:5" x14ac:dyDescent="0.25">
      <c r="B5" s="4" t="s">
        <v>155</v>
      </c>
      <c r="C5" s="5">
        <v>45284.857500000006</v>
      </c>
      <c r="D5">
        <f>GETPIVOTDATA("[Measures].[YTD Revenue]",$B$3,"[Sales].[OrderDate (Year)]","[Sales].[OrderDate (Year)].&amp;[2023]")-GETPIVOTDATA("[Measures].[YTD Revenue]",$B$3,"[Sales].[OrderDate (Year)]","[Sales].[OrderDate (Year)].&amp;[2022]")</f>
        <v>4381.3685000000041</v>
      </c>
      <c r="E5" s="10">
        <f>D5/GETPIVOTDATA("[Measures].[YTD Revenue]",$B$3,"[Sales].[OrderDate (Year)]","[Sales].[OrderDate (Year)].&amp;[2022]")</f>
        <v>0.10711478671171556</v>
      </c>
    </row>
    <row r="6" spans="2:5" x14ac:dyDescent="0.25">
      <c r="B6" s="4" t="s">
        <v>133</v>
      </c>
      <c r="C6" s="5">
        <v>37056.102999999996</v>
      </c>
      <c r="D6">
        <f>GETPIVOTDATA("[Measures].[YTD Revenue]",$B$3,"[Sales].[OrderDate (Year)]","[Sales].[OrderDate (Year)].&amp;[2024]")-GETPIVOTDATA("[Measures].[YTD Revenue]",$B$3,"[Sales].[OrderDate (Year)]","[Sales].[OrderDate (Year)].&amp;[2023]")</f>
        <v>-8228.75450000001</v>
      </c>
      <c r="E6" s="10">
        <f>D6/GETPIVOTDATA("[Measures].[YTD Revenue]",$B$3,"[Sales].[OrderDate (Year)]","[Sales].[OrderDate (Year)].&amp;[2023]")</f>
        <v>-0.18171095050922947</v>
      </c>
    </row>
    <row r="7" spans="2:5" x14ac:dyDescent="0.25">
      <c r="B7" s="4" t="s">
        <v>132</v>
      </c>
      <c r="C7" s="5">
        <v>37056.102999999996</v>
      </c>
      <c r="D7">
        <f>SUM(D5:D6)</f>
        <v>-3847.3860000000059</v>
      </c>
      <c r="E7" s="9">
        <f>SUM(E5:E6)</f>
        <v>-7.4596163797513909E-2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79B9C-932D-4326-A057-EDC4B4F21946}">
  <sheetPr codeName="Sheet11"/>
  <dimension ref="A1:N142"/>
  <sheetViews>
    <sheetView showGridLines="0" zoomScale="90" zoomScaleNormal="90" workbookViewId="0">
      <selection activeCell="J3" sqref="J3"/>
    </sheetView>
  </sheetViews>
  <sheetFormatPr defaultRowHeight="15" x14ac:dyDescent="0.25"/>
  <cols>
    <col min="1" max="1" width="21.28515625" bestFit="1" customWidth="1"/>
    <col min="2" max="2" width="17.85546875" customWidth="1"/>
    <col min="3" max="3" width="24.7109375" bestFit="1" customWidth="1"/>
    <col min="4" max="4" width="17.5703125" bestFit="1" customWidth="1"/>
    <col min="5" max="5" width="16.28515625" bestFit="1" customWidth="1"/>
    <col min="6" max="6" width="15.5703125" bestFit="1" customWidth="1"/>
    <col min="7" max="7" width="25.5703125" bestFit="1" customWidth="1"/>
    <col min="8" max="8" width="13.85546875" customWidth="1"/>
    <col min="9" max="9" width="15.85546875" customWidth="1"/>
    <col min="10" max="10" width="28" customWidth="1"/>
  </cols>
  <sheetData>
    <row r="1" spans="1:14" ht="18.75" x14ac:dyDescent="0.3">
      <c r="A1" s="15" t="s">
        <v>137</v>
      </c>
      <c r="B1" s="15"/>
      <c r="C1" s="15"/>
      <c r="D1" s="15"/>
      <c r="E1" s="15"/>
      <c r="F1" s="15"/>
      <c r="G1" s="15"/>
      <c r="H1" s="15"/>
      <c r="I1" s="15"/>
      <c r="J1" s="15"/>
      <c r="K1" s="8"/>
      <c r="L1" s="8"/>
      <c r="M1" s="8"/>
      <c r="N1" s="8"/>
    </row>
    <row r="3" spans="1:14" ht="18.75" x14ac:dyDescent="0.3">
      <c r="A3" s="13" t="s">
        <v>138</v>
      </c>
      <c r="B3" s="16">
        <f>GETPIVOTDATA("[Measures].[Total Revenue]",'Profit Margin'!$B$3)</f>
        <v>123244.4495</v>
      </c>
      <c r="C3" s="13" t="s">
        <v>139</v>
      </c>
      <c r="D3" s="16">
        <f>GETPIVOTDATA("[Measures].[Total Profit]",'Profit Margin'!$B$3)</f>
        <v>46576.169499999982</v>
      </c>
      <c r="E3" s="13" t="s">
        <v>140</v>
      </c>
      <c r="F3" s="17">
        <f>GETPIVOTDATA("[Measures].[Profit Margin]",'Profit Margin'!$B$3)</f>
        <v>0.37791697467073337</v>
      </c>
      <c r="G3" s="13" t="s">
        <v>165</v>
      </c>
      <c r="H3" s="18">
        <f>GETPIVOTDATA("[Measures].[Average Order Value]",'Average Order Value'!$A$1)</f>
        <v>1600.5772662337663</v>
      </c>
      <c r="I3" s="13" t="s">
        <v>166</v>
      </c>
      <c r="J3" s="14">
        <f>GETPIVOTDATA("[Measures].[Total Orders]",'Order Count'!$A$3)</f>
        <v>77</v>
      </c>
    </row>
    <row r="4" spans="1:14" x14ac:dyDescent="0.25">
      <c r="H4" s="2"/>
    </row>
    <row r="8" spans="1:14" x14ac:dyDescent="0.25">
      <c r="B8" s="4"/>
    </row>
    <row r="9" spans="1:14" x14ac:dyDescent="0.25">
      <c r="B9" s="4"/>
    </row>
    <row r="10" spans="1:14" x14ac:dyDescent="0.25">
      <c r="B10" s="4"/>
    </row>
    <row r="11" spans="1:14" x14ac:dyDescent="0.25">
      <c r="B11" s="4"/>
    </row>
    <row r="12" spans="1:14" x14ac:dyDescent="0.25">
      <c r="B12" s="4"/>
    </row>
    <row r="13" spans="1:14" x14ac:dyDescent="0.25">
      <c r="B13" s="4"/>
    </row>
    <row r="14" spans="1:14" x14ac:dyDescent="0.25">
      <c r="B14" s="4"/>
    </row>
    <row r="15" spans="1:14" x14ac:dyDescent="0.25">
      <c r="B15" s="4"/>
    </row>
    <row r="16" spans="1:14" x14ac:dyDescent="0.25">
      <c r="B16" s="4"/>
    </row>
    <row r="24" spans="1:7" ht="18.75" x14ac:dyDescent="0.3">
      <c r="A24" s="7" t="s">
        <v>159</v>
      </c>
      <c r="B24" s="7" t="s">
        <v>145</v>
      </c>
      <c r="C24" s="7" t="s">
        <v>146</v>
      </c>
      <c r="D24" s="7" t="s">
        <v>134</v>
      </c>
      <c r="E24" s="7" t="s">
        <v>135</v>
      </c>
      <c r="F24" s="7" t="s">
        <v>136</v>
      </c>
      <c r="G24" s="7" t="s">
        <v>141</v>
      </c>
    </row>
    <row r="25" spans="1:7" x14ac:dyDescent="0.25">
      <c r="A25" s="4" t="s">
        <v>162</v>
      </c>
    </row>
    <row r="26" spans="1:7" x14ac:dyDescent="0.25">
      <c r="A26" s="11" t="s">
        <v>113</v>
      </c>
    </row>
    <row r="27" spans="1:7" x14ac:dyDescent="0.25">
      <c r="A27" s="12" t="s">
        <v>112</v>
      </c>
      <c r="B27">
        <v>1</v>
      </c>
      <c r="C27" s="5">
        <v>2481.5700000000002</v>
      </c>
      <c r="D27" s="5">
        <v>2481.5700000000002</v>
      </c>
      <c r="E27" s="5">
        <v>827.19</v>
      </c>
      <c r="F27" s="6">
        <v>0.33333333333333331</v>
      </c>
      <c r="G27" s="5">
        <v>2481.5700000000002</v>
      </c>
    </row>
    <row r="28" spans="1:7" x14ac:dyDescent="0.25">
      <c r="A28" s="11" t="s">
        <v>117</v>
      </c>
    </row>
    <row r="29" spans="1:7" x14ac:dyDescent="0.25">
      <c r="A29" s="12" t="s">
        <v>116</v>
      </c>
      <c r="B29">
        <v>1</v>
      </c>
      <c r="C29" s="5">
        <v>904.68500000000006</v>
      </c>
      <c r="D29" s="5">
        <v>904.68500000000006</v>
      </c>
      <c r="E29" s="5">
        <v>333.28500000000008</v>
      </c>
      <c r="F29" s="6">
        <v>0.36839894548931401</v>
      </c>
      <c r="G29" s="5">
        <v>904.68500000000006</v>
      </c>
    </row>
    <row r="30" spans="1:7" x14ac:dyDescent="0.25">
      <c r="A30" s="11" t="s">
        <v>101</v>
      </c>
    </row>
    <row r="31" spans="1:7" x14ac:dyDescent="0.25">
      <c r="A31" s="12" t="s">
        <v>107</v>
      </c>
      <c r="B31">
        <v>2</v>
      </c>
      <c r="C31" s="5">
        <v>2420.652</v>
      </c>
      <c r="D31" s="5">
        <v>4841.3040000000001</v>
      </c>
      <c r="E31" s="5">
        <v>1862.1039999999998</v>
      </c>
      <c r="F31" s="6">
        <v>0.38462860419424183</v>
      </c>
      <c r="G31" s="5">
        <v>2482.7199999999998</v>
      </c>
    </row>
    <row r="32" spans="1:7" x14ac:dyDescent="0.25">
      <c r="A32" s="12" t="s">
        <v>103</v>
      </c>
      <c r="B32">
        <v>1</v>
      </c>
      <c r="C32" s="5">
        <v>936.25</v>
      </c>
      <c r="D32" s="5">
        <v>936.25</v>
      </c>
      <c r="E32" s="5">
        <v>374.5</v>
      </c>
      <c r="F32" s="6">
        <v>0.4</v>
      </c>
      <c r="G32" s="5">
        <v>936.25</v>
      </c>
    </row>
    <row r="33" spans="1:7" x14ac:dyDescent="0.25">
      <c r="A33" s="4" t="s">
        <v>147</v>
      </c>
    </row>
    <row r="34" spans="1:7" x14ac:dyDescent="0.25">
      <c r="A34" s="11" t="s">
        <v>98</v>
      </c>
    </row>
    <row r="35" spans="1:7" x14ac:dyDescent="0.25">
      <c r="A35" s="12" t="s">
        <v>97</v>
      </c>
      <c r="B35">
        <v>1</v>
      </c>
      <c r="C35" s="5">
        <v>658.72</v>
      </c>
      <c r="D35" s="5">
        <v>658.72</v>
      </c>
      <c r="E35" s="5">
        <v>263.52000000000004</v>
      </c>
      <c r="F35" s="6">
        <v>0.40004857906242414</v>
      </c>
      <c r="G35" s="5">
        <v>658.72</v>
      </c>
    </row>
    <row r="36" spans="1:7" x14ac:dyDescent="0.25">
      <c r="A36" s="12" t="s">
        <v>106</v>
      </c>
      <c r="B36">
        <v>1</v>
      </c>
      <c r="C36" s="5">
        <v>2425.221</v>
      </c>
      <c r="D36" s="5">
        <v>2425.221</v>
      </c>
      <c r="E36" s="5">
        <v>808.37099999999987</v>
      </c>
      <c r="F36" s="6">
        <v>0.33331848932530267</v>
      </c>
      <c r="G36" s="5">
        <v>2425.221</v>
      </c>
    </row>
    <row r="37" spans="1:7" x14ac:dyDescent="0.25">
      <c r="A37" s="11" t="s">
        <v>113</v>
      </c>
    </row>
    <row r="38" spans="1:7" x14ac:dyDescent="0.25">
      <c r="A38" s="12" t="s">
        <v>115</v>
      </c>
      <c r="B38">
        <v>2</v>
      </c>
      <c r="C38" s="5">
        <v>854.7360000000001</v>
      </c>
      <c r="D38" s="5">
        <v>1709.4720000000002</v>
      </c>
      <c r="E38" s="5">
        <v>641.07200000000012</v>
      </c>
      <c r="F38" s="6">
        <v>0.37501169951891583</v>
      </c>
      <c r="G38" s="5">
        <v>641.05200000000002</v>
      </c>
    </row>
    <row r="39" spans="1:7" x14ac:dyDescent="0.25">
      <c r="A39" s="11" t="s">
        <v>101</v>
      </c>
    </row>
    <row r="40" spans="1:7" x14ac:dyDescent="0.25">
      <c r="A40" s="12" t="s">
        <v>103</v>
      </c>
      <c r="B40">
        <v>2</v>
      </c>
      <c r="C40" s="5">
        <v>1304.0625</v>
      </c>
      <c r="D40" s="5">
        <v>2608.125</v>
      </c>
      <c r="E40" s="5">
        <v>1003.125</v>
      </c>
      <c r="F40" s="6">
        <v>0.38461538461538464</v>
      </c>
      <c r="G40" s="5">
        <v>1337.5</v>
      </c>
    </row>
    <row r="41" spans="1:7" x14ac:dyDescent="0.25">
      <c r="A41" s="11" t="s">
        <v>110</v>
      </c>
    </row>
    <row r="42" spans="1:7" x14ac:dyDescent="0.25">
      <c r="A42" s="12" t="s">
        <v>122</v>
      </c>
      <c r="B42">
        <v>1</v>
      </c>
      <c r="C42" s="5">
        <v>659.55</v>
      </c>
      <c r="D42" s="5">
        <v>659.55</v>
      </c>
      <c r="E42" s="5">
        <v>263.79999999999995</v>
      </c>
      <c r="F42" s="6">
        <v>0.39996967629444313</v>
      </c>
      <c r="G42" s="5">
        <v>659.55</v>
      </c>
    </row>
    <row r="43" spans="1:7" x14ac:dyDescent="0.25">
      <c r="A43" s="4" t="s">
        <v>148</v>
      </c>
    </row>
    <row r="44" spans="1:7" x14ac:dyDescent="0.25">
      <c r="A44" s="11" t="s">
        <v>98</v>
      </c>
    </row>
    <row r="45" spans="1:7" x14ac:dyDescent="0.25">
      <c r="A45" s="12" t="s">
        <v>97</v>
      </c>
      <c r="B45">
        <v>2</v>
      </c>
      <c r="C45" s="5">
        <v>988.08</v>
      </c>
      <c r="D45" s="5">
        <v>1976.16</v>
      </c>
      <c r="E45" s="5">
        <v>790.56000000000017</v>
      </c>
      <c r="F45" s="6">
        <v>0.40004857906242419</v>
      </c>
      <c r="G45" s="5">
        <v>988.08</v>
      </c>
    </row>
    <row r="46" spans="1:7" x14ac:dyDescent="0.25">
      <c r="A46" s="12" t="s">
        <v>106</v>
      </c>
      <c r="B46">
        <v>2</v>
      </c>
      <c r="C46" s="5">
        <v>1893.7682500000001</v>
      </c>
      <c r="D46" s="5">
        <v>3787.5365000000002</v>
      </c>
      <c r="E46" s="5">
        <v>1452.0865000000001</v>
      </c>
      <c r="F46" s="6">
        <v>0.38338548024553692</v>
      </c>
      <c r="G46" s="5">
        <v>1991.0765000000001</v>
      </c>
    </row>
    <row r="47" spans="1:7" x14ac:dyDescent="0.25">
      <c r="A47" s="11" t="s">
        <v>101</v>
      </c>
    </row>
    <row r="48" spans="1:7" x14ac:dyDescent="0.25">
      <c r="A48" s="12" t="s">
        <v>100</v>
      </c>
      <c r="B48">
        <v>1</v>
      </c>
      <c r="C48" s="5">
        <v>913.16</v>
      </c>
      <c r="D48" s="5">
        <v>913.16</v>
      </c>
      <c r="E48" s="5">
        <v>365.28</v>
      </c>
      <c r="F48" s="6">
        <v>0.40001752157343728</v>
      </c>
      <c r="G48" s="5">
        <v>913.16</v>
      </c>
    </row>
    <row r="49" spans="1:7" x14ac:dyDescent="0.25">
      <c r="A49" s="12" t="s">
        <v>103</v>
      </c>
      <c r="B49">
        <v>1</v>
      </c>
      <c r="C49" s="5">
        <v>1872.146</v>
      </c>
      <c r="D49" s="5">
        <v>1872.146</v>
      </c>
      <c r="E49" s="5">
        <v>689.74599999999987</v>
      </c>
      <c r="F49" s="6">
        <v>0.36842532580258158</v>
      </c>
      <c r="G49" s="5">
        <v>1872.146</v>
      </c>
    </row>
    <row r="50" spans="1:7" x14ac:dyDescent="0.25">
      <c r="A50" s="4" t="s">
        <v>163</v>
      </c>
    </row>
    <row r="51" spans="1:7" x14ac:dyDescent="0.25">
      <c r="A51" s="11" t="s">
        <v>113</v>
      </c>
    </row>
    <row r="52" spans="1:7" x14ac:dyDescent="0.25">
      <c r="A52" s="12" t="s">
        <v>112</v>
      </c>
      <c r="B52">
        <v>2</v>
      </c>
      <c r="C52" s="5">
        <v>3056.0074999999997</v>
      </c>
      <c r="D52" s="5">
        <v>6112.0149999999994</v>
      </c>
      <c r="E52" s="5">
        <v>2251.7949999999996</v>
      </c>
      <c r="F52" s="6">
        <v>0.36842105263157893</v>
      </c>
      <c r="G52" s="5">
        <v>3216.85</v>
      </c>
    </row>
    <row r="53" spans="1:7" x14ac:dyDescent="0.25">
      <c r="A53" s="11" t="s">
        <v>117</v>
      </c>
    </row>
    <row r="54" spans="1:7" x14ac:dyDescent="0.25">
      <c r="A54" s="12" t="s">
        <v>116</v>
      </c>
      <c r="B54">
        <v>2</v>
      </c>
      <c r="C54" s="5">
        <v>1999.83</v>
      </c>
      <c r="D54" s="5">
        <v>3999.66</v>
      </c>
      <c r="E54" s="5">
        <v>1485.5</v>
      </c>
      <c r="F54" s="6">
        <v>0.3714065695584125</v>
      </c>
      <c r="G54" s="5">
        <v>1714.14</v>
      </c>
    </row>
    <row r="55" spans="1:7" x14ac:dyDescent="0.25">
      <c r="A55" s="11" t="s">
        <v>101</v>
      </c>
    </row>
    <row r="56" spans="1:7" x14ac:dyDescent="0.25">
      <c r="A56" s="12" t="s">
        <v>103</v>
      </c>
      <c r="B56">
        <v>1</v>
      </c>
      <c r="C56" s="5">
        <v>1330.2090000000001</v>
      </c>
      <c r="D56" s="5">
        <v>1330.2090000000001</v>
      </c>
      <c r="E56" s="5">
        <v>443.40899999999999</v>
      </c>
      <c r="F56" s="6">
        <v>0.33333784390272503</v>
      </c>
      <c r="G56" s="5">
        <v>1330.2090000000001</v>
      </c>
    </row>
    <row r="57" spans="1:7" x14ac:dyDescent="0.25">
      <c r="A57" s="11" t="s">
        <v>110</v>
      </c>
    </row>
    <row r="58" spans="1:7" x14ac:dyDescent="0.25">
      <c r="A58" s="12" t="s">
        <v>122</v>
      </c>
      <c r="B58">
        <v>1</v>
      </c>
      <c r="C58" s="5">
        <v>1187.19</v>
      </c>
      <c r="D58" s="5">
        <v>1187.19</v>
      </c>
      <c r="E58" s="5">
        <v>474.84000000000003</v>
      </c>
      <c r="F58" s="6">
        <v>0.39996967629444319</v>
      </c>
      <c r="G58" s="5">
        <v>1187.19</v>
      </c>
    </row>
    <row r="59" spans="1:7" x14ac:dyDescent="0.25">
      <c r="A59" s="4" t="s">
        <v>149</v>
      </c>
    </row>
    <row r="60" spans="1:7" x14ac:dyDescent="0.25">
      <c r="A60" s="11" t="s">
        <v>98</v>
      </c>
    </row>
    <row r="61" spans="1:7" x14ac:dyDescent="0.25">
      <c r="A61" s="12" t="s">
        <v>126</v>
      </c>
      <c r="B61">
        <v>1</v>
      </c>
      <c r="C61" s="5">
        <v>1135.1999999999998</v>
      </c>
      <c r="D61" s="5">
        <v>1135.1999999999998</v>
      </c>
      <c r="E61" s="5">
        <v>454.07999999999981</v>
      </c>
      <c r="F61" s="6">
        <v>0.39999999999999991</v>
      </c>
      <c r="G61" s="5">
        <v>1135.1999999999998</v>
      </c>
    </row>
    <row r="62" spans="1:7" x14ac:dyDescent="0.25">
      <c r="A62" s="11" t="s">
        <v>120</v>
      </c>
    </row>
    <row r="63" spans="1:7" x14ac:dyDescent="0.25">
      <c r="A63" s="12" t="s">
        <v>119</v>
      </c>
      <c r="B63">
        <v>1</v>
      </c>
      <c r="C63" s="5">
        <v>1045.3500000000001</v>
      </c>
      <c r="D63" s="5">
        <v>1045.3500000000001</v>
      </c>
      <c r="E63" s="5">
        <v>418.1400000000001</v>
      </c>
      <c r="F63" s="6">
        <v>0.4</v>
      </c>
      <c r="G63" s="5">
        <v>1045.3500000000001</v>
      </c>
    </row>
    <row r="64" spans="1:7" x14ac:dyDescent="0.25">
      <c r="A64" s="11" t="s">
        <v>117</v>
      </c>
    </row>
    <row r="65" spans="1:7" x14ac:dyDescent="0.25">
      <c r="A65" s="12" t="s">
        <v>123</v>
      </c>
      <c r="B65">
        <v>3</v>
      </c>
      <c r="C65" s="5">
        <v>1866.9583333333333</v>
      </c>
      <c r="D65" s="5">
        <v>5600.875</v>
      </c>
      <c r="E65" s="5">
        <v>2105.9549999999999</v>
      </c>
      <c r="F65" s="6">
        <v>0.37600464213180973</v>
      </c>
      <c r="G65" s="5">
        <v>2553.9989999999998</v>
      </c>
    </row>
    <row r="66" spans="1:7" x14ac:dyDescent="0.25">
      <c r="A66" s="11" t="s">
        <v>101</v>
      </c>
    </row>
    <row r="67" spans="1:7" x14ac:dyDescent="0.25">
      <c r="A67" s="12" t="s">
        <v>107</v>
      </c>
      <c r="B67">
        <v>1</v>
      </c>
      <c r="C67" s="5">
        <v>2793.06</v>
      </c>
      <c r="D67" s="5">
        <v>2793.06</v>
      </c>
      <c r="E67" s="5">
        <v>1117.26</v>
      </c>
      <c r="F67" s="6">
        <v>0.40001288908938581</v>
      </c>
      <c r="G67" s="5">
        <v>2793.06</v>
      </c>
    </row>
    <row r="68" spans="1:7" x14ac:dyDescent="0.25">
      <c r="A68" s="12" t="s">
        <v>103</v>
      </c>
      <c r="B68">
        <v>1</v>
      </c>
      <c r="C68" s="5">
        <v>1478.01</v>
      </c>
      <c r="D68" s="5">
        <v>1478.01</v>
      </c>
      <c r="E68" s="5">
        <v>591.20999999999992</v>
      </c>
      <c r="F68" s="6">
        <v>0.40000405951245249</v>
      </c>
      <c r="G68" s="5">
        <v>1478.01</v>
      </c>
    </row>
    <row r="69" spans="1:7" x14ac:dyDescent="0.25">
      <c r="A69" s="11" t="s">
        <v>110</v>
      </c>
    </row>
    <row r="70" spans="1:7" x14ac:dyDescent="0.25">
      <c r="A70" s="12" t="s">
        <v>109</v>
      </c>
      <c r="B70">
        <v>2</v>
      </c>
      <c r="C70" s="5">
        <v>2878.3559999999998</v>
      </c>
      <c r="D70" s="5">
        <v>5756.7119999999995</v>
      </c>
      <c r="E70" s="5">
        <v>2214.1519999999996</v>
      </c>
      <c r="F70" s="6">
        <v>0.38462094334404773</v>
      </c>
      <c r="G70" s="5">
        <v>2952.16</v>
      </c>
    </row>
    <row r="71" spans="1:7" x14ac:dyDescent="0.25">
      <c r="A71" s="4" t="s">
        <v>150</v>
      </c>
    </row>
    <row r="72" spans="1:7" x14ac:dyDescent="0.25">
      <c r="A72" s="11" t="s">
        <v>98</v>
      </c>
    </row>
    <row r="73" spans="1:7" x14ac:dyDescent="0.25">
      <c r="A73" s="12" t="s">
        <v>126</v>
      </c>
      <c r="B73">
        <v>1</v>
      </c>
      <c r="C73" s="5">
        <v>681.12</v>
      </c>
      <c r="D73" s="5">
        <v>681.12</v>
      </c>
      <c r="E73" s="5">
        <v>227.04000000000002</v>
      </c>
      <c r="F73" s="6">
        <v>0.33333333333333337</v>
      </c>
      <c r="G73" s="5">
        <v>681.12</v>
      </c>
    </row>
    <row r="74" spans="1:7" x14ac:dyDescent="0.25">
      <c r="A74" s="11" t="s">
        <v>120</v>
      </c>
    </row>
    <row r="75" spans="1:7" x14ac:dyDescent="0.25">
      <c r="A75" s="12" t="s">
        <v>119</v>
      </c>
      <c r="B75">
        <v>2</v>
      </c>
      <c r="C75" s="5">
        <v>1213.7675000000002</v>
      </c>
      <c r="D75" s="5">
        <v>2427.5350000000003</v>
      </c>
      <c r="E75" s="5">
        <v>894.35500000000047</v>
      </c>
      <c r="F75" s="6">
        <v>0.36842105263157909</v>
      </c>
      <c r="G75" s="5">
        <v>1149.8850000000002</v>
      </c>
    </row>
    <row r="76" spans="1:7" x14ac:dyDescent="0.25">
      <c r="A76" s="11" t="s">
        <v>113</v>
      </c>
    </row>
    <row r="77" spans="1:7" x14ac:dyDescent="0.25">
      <c r="A77" s="12" t="s">
        <v>115</v>
      </c>
      <c r="B77">
        <v>1</v>
      </c>
      <c r="C77" s="5">
        <v>845.83249999999987</v>
      </c>
      <c r="D77" s="5">
        <v>845.83249999999987</v>
      </c>
      <c r="E77" s="5">
        <v>311.63249999999982</v>
      </c>
      <c r="F77" s="6">
        <v>0.36843287530332525</v>
      </c>
      <c r="G77" s="5">
        <v>845.83249999999987</v>
      </c>
    </row>
    <row r="78" spans="1:7" x14ac:dyDescent="0.25">
      <c r="A78" s="11" t="s">
        <v>101</v>
      </c>
    </row>
    <row r="79" spans="1:7" x14ac:dyDescent="0.25">
      <c r="A79" s="12" t="s">
        <v>100</v>
      </c>
      <c r="B79">
        <v>2</v>
      </c>
      <c r="C79" s="5">
        <v>1369.74</v>
      </c>
      <c r="D79" s="5">
        <v>2739.48</v>
      </c>
      <c r="E79" s="5">
        <v>1095.8400000000001</v>
      </c>
      <c r="F79" s="6">
        <v>0.40001752157343734</v>
      </c>
      <c r="G79" s="5">
        <v>1598.03</v>
      </c>
    </row>
    <row r="80" spans="1:7" x14ac:dyDescent="0.25">
      <c r="A80" s="4" t="s">
        <v>164</v>
      </c>
    </row>
    <row r="81" spans="1:7" x14ac:dyDescent="0.25">
      <c r="A81" s="11" t="s">
        <v>113</v>
      </c>
    </row>
    <row r="82" spans="1:7" x14ac:dyDescent="0.25">
      <c r="A82" s="12" t="s">
        <v>112</v>
      </c>
      <c r="B82">
        <v>2</v>
      </c>
      <c r="C82" s="5">
        <v>3056.0074999999997</v>
      </c>
      <c r="D82" s="5">
        <v>6112.0149999999994</v>
      </c>
      <c r="E82" s="5">
        <v>2251.7949999999992</v>
      </c>
      <c r="F82" s="6">
        <v>0.36842105263157887</v>
      </c>
      <c r="G82" s="5">
        <v>2182.8624999999997</v>
      </c>
    </row>
    <row r="83" spans="1:7" x14ac:dyDescent="0.25">
      <c r="A83" s="11" t="s">
        <v>117</v>
      </c>
    </row>
    <row r="84" spans="1:7" x14ac:dyDescent="0.25">
      <c r="A84" s="12" t="s">
        <v>116</v>
      </c>
      <c r="B84">
        <v>1</v>
      </c>
      <c r="C84" s="5">
        <v>1028.4839999999999</v>
      </c>
      <c r="D84" s="5">
        <v>1028.4839999999999</v>
      </c>
      <c r="E84" s="5">
        <v>342.80399999999986</v>
      </c>
      <c r="F84" s="6">
        <v>0.33330999801649797</v>
      </c>
      <c r="G84" s="5">
        <v>1028.4839999999999</v>
      </c>
    </row>
    <row r="85" spans="1:7" x14ac:dyDescent="0.25">
      <c r="A85" s="11" t="s">
        <v>101</v>
      </c>
    </row>
    <row r="86" spans="1:7" x14ac:dyDescent="0.25">
      <c r="A86" s="12" t="s">
        <v>107</v>
      </c>
      <c r="B86">
        <v>2</v>
      </c>
      <c r="C86" s="5">
        <v>1862.04</v>
      </c>
      <c r="D86" s="5">
        <v>3724.08</v>
      </c>
      <c r="E86" s="5">
        <v>1489.6799999999998</v>
      </c>
      <c r="F86" s="6">
        <v>0.40001288908938581</v>
      </c>
      <c r="G86" s="5">
        <v>2482.7199999999998</v>
      </c>
    </row>
    <row r="87" spans="1:7" x14ac:dyDescent="0.25">
      <c r="A87" s="11" t="s">
        <v>110</v>
      </c>
    </row>
    <row r="88" spans="1:7" x14ac:dyDescent="0.25">
      <c r="A88" s="12" t="s">
        <v>109</v>
      </c>
      <c r="B88">
        <v>1</v>
      </c>
      <c r="C88" s="5">
        <v>2952.16</v>
      </c>
      <c r="D88" s="5">
        <v>2952.16</v>
      </c>
      <c r="E88" s="5">
        <v>1180.8799999999999</v>
      </c>
      <c r="F88" s="6">
        <v>0.40000541976044657</v>
      </c>
      <c r="G88" s="5">
        <v>2952.16</v>
      </c>
    </row>
    <row r="89" spans="1:7" x14ac:dyDescent="0.25">
      <c r="A89" s="12" t="s">
        <v>122</v>
      </c>
      <c r="B89">
        <v>1</v>
      </c>
      <c r="C89" s="5">
        <v>1187.19</v>
      </c>
      <c r="D89" s="5">
        <v>1187.19</v>
      </c>
      <c r="E89" s="5">
        <v>395.69000000000005</v>
      </c>
      <c r="F89" s="6">
        <v>0.33329964032715914</v>
      </c>
      <c r="G89" s="5">
        <v>1187.19</v>
      </c>
    </row>
    <row r="90" spans="1:7" x14ac:dyDescent="0.25">
      <c r="A90" s="4" t="s">
        <v>151</v>
      </c>
    </row>
    <row r="91" spans="1:7" x14ac:dyDescent="0.25">
      <c r="A91" s="11" t="s">
        <v>98</v>
      </c>
    </row>
    <row r="92" spans="1:7" x14ac:dyDescent="0.25">
      <c r="A92" s="12" t="s">
        <v>97</v>
      </c>
      <c r="B92">
        <v>1</v>
      </c>
      <c r="C92" s="5">
        <v>576.38</v>
      </c>
      <c r="D92" s="5">
        <v>576.38</v>
      </c>
      <c r="E92" s="5">
        <v>230.57999999999998</v>
      </c>
      <c r="F92" s="6">
        <v>0.40004857906242408</v>
      </c>
      <c r="G92" s="5">
        <v>576.38</v>
      </c>
    </row>
    <row r="93" spans="1:7" x14ac:dyDescent="0.25">
      <c r="A93" s="12" t="s">
        <v>106</v>
      </c>
      <c r="B93">
        <v>1</v>
      </c>
      <c r="C93" s="5">
        <v>1796.46</v>
      </c>
      <c r="D93" s="5">
        <v>1796.46</v>
      </c>
      <c r="E93" s="5">
        <v>718.56</v>
      </c>
      <c r="F93" s="6">
        <v>0.39998664039277243</v>
      </c>
      <c r="G93" s="5">
        <v>1796.46</v>
      </c>
    </row>
    <row r="94" spans="1:7" x14ac:dyDescent="0.25">
      <c r="A94" s="11" t="s">
        <v>113</v>
      </c>
    </row>
    <row r="95" spans="1:7" x14ac:dyDescent="0.25">
      <c r="A95" s="12" t="s">
        <v>115</v>
      </c>
      <c r="B95">
        <v>1</v>
      </c>
      <c r="C95" s="5">
        <v>676.66599999999994</v>
      </c>
      <c r="D95" s="5">
        <v>676.66599999999994</v>
      </c>
      <c r="E95" s="5">
        <v>249.30599999999993</v>
      </c>
      <c r="F95" s="6">
        <v>0.36843287530332536</v>
      </c>
      <c r="G95" s="5">
        <v>676.66599999999994</v>
      </c>
    </row>
    <row r="96" spans="1:7" x14ac:dyDescent="0.25">
      <c r="A96" s="11" t="s">
        <v>101</v>
      </c>
    </row>
    <row r="97" spans="1:7" x14ac:dyDescent="0.25">
      <c r="A97" s="12" t="s">
        <v>107</v>
      </c>
      <c r="B97">
        <v>1</v>
      </c>
      <c r="C97" s="5">
        <v>1241.3599999999999</v>
      </c>
      <c r="D97" s="5">
        <v>1241.3599999999999</v>
      </c>
      <c r="E97" s="5">
        <v>496.55999999999995</v>
      </c>
      <c r="F97" s="6">
        <v>0.40001288908938581</v>
      </c>
      <c r="G97" s="5">
        <v>1241.3599999999999</v>
      </c>
    </row>
    <row r="98" spans="1:7" x14ac:dyDescent="0.25">
      <c r="A98" s="12" t="s">
        <v>103</v>
      </c>
      <c r="B98">
        <v>3</v>
      </c>
      <c r="C98" s="5">
        <v>1065.5416666666667</v>
      </c>
      <c r="D98" s="5">
        <v>3196.625</v>
      </c>
      <c r="E98" s="5">
        <v>1190.375</v>
      </c>
      <c r="F98" s="6">
        <v>0.3723849372384937</v>
      </c>
      <c r="G98" s="5">
        <v>1471.25</v>
      </c>
    </row>
    <row r="99" spans="1:7" x14ac:dyDescent="0.25">
      <c r="A99" s="11" t="s">
        <v>110</v>
      </c>
    </row>
    <row r="100" spans="1:7" x14ac:dyDescent="0.25">
      <c r="A100" s="12" t="s">
        <v>122</v>
      </c>
      <c r="B100">
        <v>1</v>
      </c>
      <c r="C100" s="5">
        <v>877.20150000000001</v>
      </c>
      <c r="D100" s="5">
        <v>877.20150000000001</v>
      </c>
      <c r="E100" s="5">
        <v>323.15149999999994</v>
      </c>
      <c r="F100" s="6">
        <v>0.36838913294151909</v>
      </c>
      <c r="G100" s="5">
        <v>877.20150000000001</v>
      </c>
    </row>
    <row r="101" spans="1:7" x14ac:dyDescent="0.25">
      <c r="A101" s="4" t="s">
        <v>152</v>
      </c>
    </row>
    <row r="102" spans="1:7" x14ac:dyDescent="0.25">
      <c r="A102" s="11" t="s">
        <v>98</v>
      </c>
    </row>
    <row r="103" spans="1:7" x14ac:dyDescent="0.25">
      <c r="A103" s="12" t="s">
        <v>97</v>
      </c>
      <c r="B103">
        <v>2</v>
      </c>
      <c r="C103" s="5">
        <v>555.79500000000007</v>
      </c>
      <c r="D103" s="5">
        <v>1111.5900000000001</v>
      </c>
      <c r="E103" s="5">
        <v>419.99000000000012</v>
      </c>
      <c r="F103" s="6">
        <v>0.37782815606473619</v>
      </c>
      <c r="G103" s="5">
        <v>741.06000000000006</v>
      </c>
    </row>
    <row r="104" spans="1:7" x14ac:dyDescent="0.25">
      <c r="A104" s="12" t="s">
        <v>106</v>
      </c>
      <c r="B104">
        <v>1</v>
      </c>
      <c r="C104" s="5">
        <v>1347.3450000000003</v>
      </c>
      <c r="D104" s="5">
        <v>1347.3450000000003</v>
      </c>
      <c r="E104" s="5">
        <v>449.09500000000025</v>
      </c>
      <c r="F104" s="6">
        <v>0.33331848932530284</v>
      </c>
      <c r="G104" s="5">
        <v>1347.3450000000003</v>
      </c>
    </row>
    <row r="105" spans="1:7" x14ac:dyDescent="0.25">
      <c r="A105" s="12" t="s">
        <v>126</v>
      </c>
      <c r="B105">
        <v>1</v>
      </c>
      <c r="C105" s="5">
        <v>1702.8</v>
      </c>
      <c r="D105" s="5">
        <v>1702.8</v>
      </c>
      <c r="E105" s="5">
        <v>681.12</v>
      </c>
      <c r="F105" s="6">
        <v>0.4</v>
      </c>
      <c r="G105" s="5">
        <v>1702.8</v>
      </c>
    </row>
    <row r="106" spans="1:7" x14ac:dyDescent="0.25">
      <c r="A106" s="11" t="s">
        <v>113</v>
      </c>
    </row>
    <row r="107" spans="1:7" x14ac:dyDescent="0.25">
      <c r="A107" s="12" t="s">
        <v>115</v>
      </c>
      <c r="B107">
        <v>1</v>
      </c>
      <c r="C107" s="5">
        <v>1780.6999999999998</v>
      </c>
      <c r="D107" s="5">
        <v>1780.6999999999998</v>
      </c>
      <c r="E107" s="5">
        <v>712.29999999999973</v>
      </c>
      <c r="F107" s="6">
        <v>0.40001123153815904</v>
      </c>
      <c r="G107" s="5">
        <v>1780.6999999999998</v>
      </c>
    </row>
    <row r="108" spans="1:7" x14ac:dyDescent="0.25">
      <c r="A108" s="11" t="s">
        <v>117</v>
      </c>
    </row>
    <row r="109" spans="1:7" x14ac:dyDescent="0.25">
      <c r="A109" s="12" t="s">
        <v>116</v>
      </c>
      <c r="B109">
        <v>1</v>
      </c>
      <c r="C109" s="5">
        <v>514.24199999999996</v>
      </c>
      <c r="D109" s="5">
        <v>514.24199999999996</v>
      </c>
      <c r="E109" s="5">
        <v>171.40199999999993</v>
      </c>
      <c r="F109" s="6">
        <v>0.33330999801649797</v>
      </c>
      <c r="G109" s="5">
        <v>514.24199999999996</v>
      </c>
    </row>
    <row r="110" spans="1:7" x14ac:dyDescent="0.25">
      <c r="A110" s="4" t="s">
        <v>153</v>
      </c>
    </row>
    <row r="111" spans="1:7" x14ac:dyDescent="0.25">
      <c r="A111" s="11" t="s">
        <v>98</v>
      </c>
    </row>
    <row r="112" spans="1:7" x14ac:dyDescent="0.25">
      <c r="A112" s="12" t="s">
        <v>126</v>
      </c>
      <c r="B112">
        <v>1</v>
      </c>
      <c r="C112" s="5">
        <v>1078.4399999999998</v>
      </c>
      <c r="D112" s="5">
        <v>1078.4399999999998</v>
      </c>
      <c r="E112" s="5">
        <v>397.31999999999982</v>
      </c>
      <c r="F112" s="6">
        <v>0.36842105263157882</v>
      </c>
      <c r="G112" s="5">
        <v>1078.4399999999998</v>
      </c>
    </row>
    <row r="113" spans="1:7" x14ac:dyDescent="0.25">
      <c r="A113" s="11" t="s">
        <v>113</v>
      </c>
    </row>
    <row r="114" spans="1:7" x14ac:dyDescent="0.25">
      <c r="A114" s="12" t="s">
        <v>112</v>
      </c>
      <c r="B114">
        <v>1</v>
      </c>
      <c r="C114" s="5">
        <v>3676.4</v>
      </c>
      <c r="D114" s="5">
        <v>3676.4</v>
      </c>
      <c r="E114" s="5">
        <v>1470.56</v>
      </c>
      <c r="F114" s="6">
        <v>0.39999999999999997</v>
      </c>
      <c r="G114" s="5">
        <v>3676.4</v>
      </c>
    </row>
    <row r="115" spans="1:7" x14ac:dyDescent="0.25">
      <c r="A115" s="11" t="s">
        <v>117</v>
      </c>
    </row>
    <row r="116" spans="1:7" x14ac:dyDescent="0.25">
      <c r="A116" s="12" t="s">
        <v>116</v>
      </c>
      <c r="B116">
        <v>1</v>
      </c>
      <c r="C116" s="5">
        <v>1523.68</v>
      </c>
      <c r="D116" s="5">
        <v>1523.68</v>
      </c>
      <c r="E116" s="5">
        <v>609.44000000000005</v>
      </c>
      <c r="F116" s="6">
        <v>0.39997899821484828</v>
      </c>
      <c r="G116" s="5">
        <v>1523.68</v>
      </c>
    </row>
    <row r="117" spans="1:7" x14ac:dyDescent="0.25">
      <c r="A117" s="12" t="s">
        <v>123</v>
      </c>
      <c r="B117">
        <v>1</v>
      </c>
      <c r="C117" s="5">
        <v>1792.28</v>
      </c>
      <c r="D117" s="5">
        <v>1792.28</v>
      </c>
      <c r="E117" s="5">
        <v>716.92000000000007</v>
      </c>
      <c r="F117" s="6">
        <v>0.40000446358827868</v>
      </c>
      <c r="G117" s="5">
        <v>1792.28</v>
      </c>
    </row>
    <row r="118" spans="1:7" x14ac:dyDescent="0.25">
      <c r="A118" s="11" t="s">
        <v>101</v>
      </c>
    </row>
    <row r="119" spans="1:7" x14ac:dyDescent="0.25">
      <c r="A119" s="12" t="s">
        <v>100</v>
      </c>
      <c r="B119">
        <v>1</v>
      </c>
      <c r="C119" s="5">
        <v>1084.3775000000001</v>
      </c>
      <c r="D119" s="5">
        <v>1084.3775000000001</v>
      </c>
      <c r="E119" s="5">
        <v>399.52750000000003</v>
      </c>
      <c r="F119" s="6">
        <v>0.36843949639309193</v>
      </c>
      <c r="G119" s="5">
        <v>1084.3775000000001</v>
      </c>
    </row>
    <row r="120" spans="1:7" x14ac:dyDescent="0.25">
      <c r="A120" s="11" t="s">
        <v>110</v>
      </c>
    </row>
    <row r="121" spans="1:7" x14ac:dyDescent="0.25">
      <c r="A121" s="12" t="s">
        <v>109</v>
      </c>
      <c r="B121">
        <v>1</v>
      </c>
      <c r="C121" s="5">
        <v>2103.4139999999998</v>
      </c>
      <c r="D121" s="5">
        <v>2103.4139999999998</v>
      </c>
      <c r="E121" s="5">
        <v>774.95399999999972</v>
      </c>
      <c r="F121" s="6">
        <v>0.36842675764257526</v>
      </c>
      <c r="G121" s="5">
        <v>2103.4139999999998</v>
      </c>
    </row>
    <row r="122" spans="1:7" x14ac:dyDescent="0.25">
      <c r="A122" s="12" t="s">
        <v>122</v>
      </c>
      <c r="B122">
        <v>1</v>
      </c>
      <c r="C122" s="5">
        <v>1055.28</v>
      </c>
      <c r="D122" s="5">
        <v>1055.28</v>
      </c>
      <c r="E122" s="5">
        <v>422.07999999999993</v>
      </c>
      <c r="F122" s="6">
        <v>0.39996967629444313</v>
      </c>
      <c r="G122" s="5">
        <v>1055.28</v>
      </c>
    </row>
    <row r="123" spans="1:7" x14ac:dyDescent="0.25">
      <c r="A123" s="4" t="s">
        <v>160</v>
      </c>
    </row>
    <row r="124" spans="1:7" x14ac:dyDescent="0.25">
      <c r="A124" s="11" t="s">
        <v>120</v>
      </c>
    </row>
    <row r="125" spans="1:7" x14ac:dyDescent="0.25">
      <c r="A125" s="12" t="s">
        <v>119</v>
      </c>
      <c r="B125">
        <v>1</v>
      </c>
      <c r="C125" s="5">
        <v>580.75</v>
      </c>
      <c r="D125" s="5">
        <v>580.75</v>
      </c>
      <c r="E125" s="5">
        <v>232.3</v>
      </c>
      <c r="F125" s="6">
        <v>0.4</v>
      </c>
      <c r="G125" s="5">
        <v>580.75</v>
      </c>
    </row>
    <row r="126" spans="1:7" x14ac:dyDescent="0.25">
      <c r="A126" s="11" t="s">
        <v>113</v>
      </c>
    </row>
    <row r="127" spans="1:7" x14ac:dyDescent="0.25">
      <c r="A127" s="12" t="s">
        <v>115</v>
      </c>
      <c r="B127">
        <v>1</v>
      </c>
      <c r="C127" s="5">
        <v>712.28</v>
      </c>
      <c r="D127" s="5">
        <v>712.28</v>
      </c>
      <c r="E127" s="5">
        <v>284.91999999999996</v>
      </c>
      <c r="F127" s="6">
        <v>0.4000112315381591</v>
      </c>
      <c r="G127" s="5">
        <v>712.28</v>
      </c>
    </row>
    <row r="128" spans="1:7" x14ac:dyDescent="0.25">
      <c r="A128" s="11" t="s">
        <v>117</v>
      </c>
    </row>
    <row r="129" spans="1:7" x14ac:dyDescent="0.25">
      <c r="A129" s="12" t="s">
        <v>123</v>
      </c>
      <c r="B129">
        <v>1</v>
      </c>
      <c r="C129" s="5">
        <v>2822.8409999999999</v>
      </c>
      <c r="D129" s="5">
        <v>2822.8409999999999</v>
      </c>
      <c r="E129" s="5">
        <v>940.96100000000001</v>
      </c>
      <c r="F129" s="6">
        <v>0.33333829287586514</v>
      </c>
      <c r="G129" s="5">
        <v>2822.8409999999999</v>
      </c>
    </row>
    <row r="130" spans="1:7" x14ac:dyDescent="0.25">
      <c r="A130" s="11" t="s">
        <v>101</v>
      </c>
    </row>
    <row r="131" spans="1:7" x14ac:dyDescent="0.25">
      <c r="A131" s="12" t="s">
        <v>103</v>
      </c>
      <c r="B131">
        <v>2</v>
      </c>
      <c r="C131" s="5">
        <v>3473.3235</v>
      </c>
      <c r="D131" s="5">
        <v>6946.6469999999999</v>
      </c>
      <c r="E131" s="5">
        <v>2512.6469999999999</v>
      </c>
      <c r="F131" s="6">
        <v>0.36170644628984316</v>
      </c>
      <c r="G131" s="5">
        <v>3990.627</v>
      </c>
    </row>
    <row r="132" spans="1:7" x14ac:dyDescent="0.25">
      <c r="A132" s="11" t="s">
        <v>110</v>
      </c>
    </row>
    <row r="133" spans="1:7" x14ac:dyDescent="0.25">
      <c r="A133" s="12" t="s">
        <v>109</v>
      </c>
      <c r="B133">
        <v>1</v>
      </c>
      <c r="C133" s="5">
        <v>1476.08</v>
      </c>
      <c r="D133" s="5">
        <v>1476.08</v>
      </c>
      <c r="E133" s="5">
        <v>590.43999999999994</v>
      </c>
      <c r="F133" s="6">
        <v>0.40000541976044657</v>
      </c>
      <c r="G133" s="5">
        <v>1476.08</v>
      </c>
    </row>
    <row r="134" spans="1:7" x14ac:dyDescent="0.25">
      <c r="A134" s="4" t="s">
        <v>161</v>
      </c>
    </row>
    <row r="135" spans="1:7" x14ac:dyDescent="0.25">
      <c r="A135" s="11" t="s">
        <v>120</v>
      </c>
    </row>
    <row r="136" spans="1:7" x14ac:dyDescent="0.25">
      <c r="A136" s="12" t="s">
        <v>119</v>
      </c>
      <c r="B136">
        <v>1</v>
      </c>
      <c r="C136" s="5">
        <v>1045.3500000000001</v>
      </c>
      <c r="D136" s="5">
        <v>1045.3500000000001</v>
      </c>
      <c r="E136" s="5">
        <v>418.1400000000001</v>
      </c>
      <c r="F136" s="6">
        <v>0.4</v>
      </c>
      <c r="G136" s="5">
        <v>1045.3500000000001</v>
      </c>
    </row>
    <row r="137" spans="1:7" x14ac:dyDescent="0.25">
      <c r="A137" s="11" t="s">
        <v>117</v>
      </c>
    </row>
    <row r="138" spans="1:7" x14ac:dyDescent="0.25">
      <c r="A138" s="12" t="s">
        <v>123</v>
      </c>
      <c r="B138">
        <v>1</v>
      </c>
      <c r="C138" s="5">
        <v>1344.21</v>
      </c>
      <c r="D138" s="5">
        <v>1344.21</v>
      </c>
      <c r="E138" s="5">
        <v>537.69000000000005</v>
      </c>
      <c r="F138" s="6">
        <v>0.40000446358827862</v>
      </c>
      <c r="G138" s="5">
        <v>1344.21</v>
      </c>
    </row>
    <row r="139" spans="1:7" x14ac:dyDescent="0.25">
      <c r="A139" s="11" t="s">
        <v>101</v>
      </c>
    </row>
    <row r="140" spans="1:7" x14ac:dyDescent="0.25">
      <c r="A140" s="12" t="s">
        <v>100</v>
      </c>
      <c r="B140">
        <v>1</v>
      </c>
      <c r="C140" s="5">
        <v>1518.1284999999998</v>
      </c>
      <c r="D140" s="5">
        <v>1518.1284999999998</v>
      </c>
      <c r="E140" s="5">
        <v>559.33849999999984</v>
      </c>
      <c r="F140" s="6">
        <v>0.36843949639309181</v>
      </c>
      <c r="G140" s="5">
        <v>1518.1284999999998</v>
      </c>
    </row>
    <row r="141" spans="1:7" x14ac:dyDescent="0.25">
      <c r="A141" s="11" t="s">
        <v>110</v>
      </c>
    </row>
    <row r="142" spans="1:7" x14ac:dyDescent="0.25">
      <c r="A142" s="12" t="s">
        <v>109</v>
      </c>
      <c r="B142">
        <v>1</v>
      </c>
      <c r="C142" s="5">
        <v>1752.8449999999998</v>
      </c>
      <c r="D142" s="5">
        <v>1752.8449999999998</v>
      </c>
      <c r="E142" s="5">
        <v>645.79499999999985</v>
      </c>
      <c r="F142" s="6">
        <v>0.36842675764257532</v>
      </c>
      <c r="G142" s="5">
        <v>1752.8449999999998</v>
      </c>
    </row>
  </sheetData>
  <mergeCells count="1">
    <mergeCell ref="A1:J1"/>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2" r:id="rId5" name="Button 2">
              <controlPr defaultSize="0" print="0" autoFill="0" autoPict="0" macro="[0]!ResetDashboardFilter">
                <anchor>
                  <from>
                    <xdr:col>9</xdr:col>
                    <xdr:colOff>0</xdr:colOff>
                    <xdr:row>6</xdr:row>
                    <xdr:rowOff>123825</xdr:rowOff>
                  </from>
                  <to>
                    <xdr:col>9</xdr:col>
                    <xdr:colOff>1438275</xdr:colOff>
                    <xdr:row>8</xdr:row>
                    <xdr:rowOff>38100</xdr:rowOff>
                  </to>
                </anchor>
              </controlPr>
            </control>
          </mc:Choice>
        </mc:AlternateContent>
        <mc:AlternateContent xmlns:mc="http://schemas.openxmlformats.org/markup-compatibility/2006">
          <mc:Choice Requires="x14">
            <control shapeId="5123" r:id="rId6" name="Button 3">
              <controlPr defaultSize="0" print="0" autoFill="0" autoPict="0" macro="[0]!RefreshDashboard">
                <anchor>
                  <from>
                    <xdr:col>8</xdr:col>
                    <xdr:colOff>1019175</xdr:colOff>
                    <xdr:row>3</xdr:row>
                    <xdr:rowOff>133350</xdr:rowOff>
                  </from>
                  <to>
                    <xdr:col>9</xdr:col>
                    <xdr:colOff>1419225</xdr:colOff>
                    <xdr:row>5</xdr:row>
                    <xdr:rowOff>19050</xdr:rowOff>
                  </to>
                </anchor>
              </controlPr>
            </control>
          </mc:Choice>
        </mc:AlternateContent>
      </controls>
    </mc:Choice>
  </mc:AlternateContent>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C1EDD87E-ADFE-4C63-82D6-3B20C0F1EB21}">
  <ds:schemaRefs/>
</ds:datastoreItem>
</file>

<file path=customXml/itemProps2.xml><?xml version="1.0" encoding="utf-8"?>
<ds:datastoreItem xmlns:ds="http://schemas.openxmlformats.org/officeDocument/2006/customXml" ds:itemID="{1A44405D-9523-4C8E-B706-17D0F3469D73}">
  <ds:schemaRefs/>
</ds:datastoreItem>
</file>

<file path=customXml/itemProps3.xml><?xml version="1.0" encoding="utf-8"?>
<ds:datastoreItem xmlns:ds="http://schemas.openxmlformats.org/officeDocument/2006/customXml" ds:itemID="{2D0385D2-7791-4A2B-99FD-121AC3C44A26}">
  <ds:schemaRefs/>
</ds:datastoreItem>
</file>

<file path=customXml/itemProps4.xml><?xml version="1.0" encoding="utf-8"?>
<ds:datastoreItem xmlns:ds="http://schemas.openxmlformats.org/officeDocument/2006/customXml" ds:itemID="{3A36E90B-54B3-4DAD-841B-9746DD9DC9B7}">
  <ds:schemaRefs/>
</ds:datastoreItem>
</file>

<file path=customXml/itemProps5.xml><?xml version="1.0" encoding="utf-8"?>
<ds:datastoreItem xmlns:ds="http://schemas.openxmlformats.org/officeDocument/2006/customXml" ds:itemID="{564C3DF3-92FA-4B64-A09B-832BA97987AF}">
  <ds:schemaRefs/>
</ds:datastoreItem>
</file>

<file path=customXml/itemProps6.xml><?xml version="1.0" encoding="utf-8"?>
<ds:datastoreItem xmlns:ds="http://schemas.openxmlformats.org/officeDocument/2006/customXml" ds:itemID="{651293C9-659A-4F53-B148-59A1E549ACBD}">
  <ds:schemaRefs/>
</ds:datastoreItem>
</file>

<file path=customXml/itemProps7.xml><?xml version="1.0" encoding="utf-8"?>
<ds:datastoreItem xmlns:ds="http://schemas.openxmlformats.org/officeDocument/2006/customXml" ds:itemID="{B09DD016-8193-40F6-82F8-A9A1F2F04D79}">
  <ds:schemaRefs/>
</ds:datastoreItem>
</file>

<file path=customXml/itemProps8.xml><?xml version="1.0" encoding="utf-8"?>
<ds:datastoreItem xmlns:ds="http://schemas.openxmlformats.org/officeDocument/2006/customXml" ds:itemID="{E6136808-63D1-4BFB-912A-9BB36CE0714F}">
  <ds:schemaRefs/>
</ds:datastoreItem>
</file>

<file path=customXml/itemProps9.xml><?xml version="1.0" encoding="utf-8"?>
<ds:datastoreItem xmlns:ds="http://schemas.openxmlformats.org/officeDocument/2006/customXml" ds:itemID="{E3547FE1-3348-4070-B8E3-AE2C5C610D3B}">
  <ds:schemaRefs>
    <ds:schemaRef ds:uri="http://schemas.microsoft.com/DataMashup"/>
  </ds:schemaRefs>
</ds:datastoreItem>
</file>

<file path=customXml/itemProps10.xml><?xml version="1.0" encoding="utf-8"?>
<ds:datastoreItem xmlns:ds="http://schemas.openxmlformats.org/officeDocument/2006/customXml" ds:itemID="{3694AAFB-1AE6-4203-8DF6-D4BC02063BFB}">
  <ds:schemaRefs/>
</ds:datastoreItem>
</file>

<file path=customXml/itemProps11.xml><?xml version="1.0" encoding="utf-8"?>
<ds:datastoreItem xmlns:ds="http://schemas.openxmlformats.org/officeDocument/2006/customXml" ds:itemID="{F02BD875-C529-4858-9D40-B492F8850D77}">
  <ds:schemaRefs/>
</ds:datastoreItem>
</file>

<file path=customXml/itemProps12.xml><?xml version="1.0" encoding="utf-8"?>
<ds:datastoreItem xmlns:ds="http://schemas.openxmlformats.org/officeDocument/2006/customXml" ds:itemID="{1F3F6FDE-BE27-4959-AA39-918411D2EE22}">
  <ds:schemaRefs/>
</ds:datastoreItem>
</file>

<file path=customXml/itemProps13.xml><?xml version="1.0" encoding="utf-8"?>
<ds:datastoreItem xmlns:ds="http://schemas.openxmlformats.org/officeDocument/2006/customXml" ds:itemID="{44B720D8-6BE6-4ECA-BBD2-CA38CB8FEC81}">
  <ds:schemaRefs/>
</ds:datastoreItem>
</file>

<file path=customXml/itemProps14.xml><?xml version="1.0" encoding="utf-8"?>
<ds:datastoreItem xmlns:ds="http://schemas.openxmlformats.org/officeDocument/2006/customXml" ds:itemID="{7BA54203-EDE9-47B4-B67B-4A9C9F27C795}">
  <ds:schemaRefs/>
</ds:datastoreItem>
</file>

<file path=customXml/itemProps15.xml><?xml version="1.0" encoding="utf-8"?>
<ds:datastoreItem xmlns:ds="http://schemas.openxmlformats.org/officeDocument/2006/customXml" ds:itemID="{F22C4180-B43D-4BF2-AFB0-23D8CF89AFFD}">
  <ds:schemaRefs/>
</ds:datastoreItem>
</file>

<file path=customXml/itemProps16.xml><?xml version="1.0" encoding="utf-8"?>
<ds:datastoreItem xmlns:ds="http://schemas.openxmlformats.org/officeDocument/2006/customXml" ds:itemID="{00B2A83C-8770-4E29-A61B-E0A416469B5B}">
  <ds:schemaRefs/>
</ds:datastoreItem>
</file>

<file path=customXml/itemProps17.xml><?xml version="1.0" encoding="utf-8"?>
<ds:datastoreItem xmlns:ds="http://schemas.openxmlformats.org/officeDocument/2006/customXml" ds:itemID="{353E54E2-515F-4BD5-B1CF-1A6A3D51F407}">
  <ds:schemaRefs/>
</ds:datastoreItem>
</file>

<file path=customXml/itemProps18.xml><?xml version="1.0" encoding="utf-8"?>
<ds:datastoreItem xmlns:ds="http://schemas.openxmlformats.org/officeDocument/2006/customXml" ds:itemID="{93058DB9-FB3B-4752-9E99-979D71F50CDB}">
  <ds:schemaRefs/>
</ds:datastoreItem>
</file>

<file path=customXml/itemProps19.xml><?xml version="1.0" encoding="utf-8"?>
<ds:datastoreItem xmlns:ds="http://schemas.openxmlformats.org/officeDocument/2006/customXml" ds:itemID="{6895F80C-F565-4727-956D-109A84AC345D}">
  <ds:schemaRefs/>
</ds:datastoreItem>
</file>

<file path=customXml/itemProps20.xml><?xml version="1.0" encoding="utf-8"?>
<ds:datastoreItem xmlns:ds="http://schemas.openxmlformats.org/officeDocument/2006/customXml" ds:itemID="{8E521D41-BF96-481C-8A4C-70194DAA33E2}">
  <ds:schemaRefs/>
</ds:datastoreItem>
</file>

<file path=customXml/itemProps21.xml><?xml version="1.0" encoding="utf-8"?>
<ds:datastoreItem xmlns:ds="http://schemas.openxmlformats.org/officeDocument/2006/customXml" ds:itemID="{518879AB-1C97-46E6-8496-EF29F8C7AF91}">
  <ds:schemaRefs/>
</ds:datastoreItem>
</file>

<file path=customXml/itemProps22.xml><?xml version="1.0" encoding="utf-8"?>
<ds:datastoreItem xmlns:ds="http://schemas.openxmlformats.org/officeDocument/2006/customXml" ds:itemID="{92842879-A76B-499C-9124-466A3E3F1E5C}">
  <ds:schemaRefs/>
</ds:datastoreItem>
</file>

<file path=customXml/itemProps23.xml><?xml version="1.0" encoding="utf-8"?>
<ds:datastoreItem xmlns:ds="http://schemas.openxmlformats.org/officeDocument/2006/customXml" ds:itemID="{0380D483-CF6B-4CFA-9C1D-D3C57FF6E8AF}">
  <ds:schemaRefs/>
</ds:datastoreItem>
</file>

<file path=customXml/itemProps24.xml><?xml version="1.0" encoding="utf-8"?>
<ds:datastoreItem xmlns:ds="http://schemas.openxmlformats.org/officeDocument/2006/customXml" ds:itemID="{A7B2C593-A644-45A1-AD58-79E8938CA41A}">
  <ds:schemaRefs/>
</ds:datastoreItem>
</file>

<file path=customXml/itemProps25.xml><?xml version="1.0" encoding="utf-8"?>
<ds:datastoreItem xmlns:ds="http://schemas.openxmlformats.org/officeDocument/2006/customXml" ds:itemID="{3DF7C139-298E-4BF3-96E5-9161579F3A21}">
  <ds:schemaRefs/>
</ds:datastoreItem>
</file>

<file path=customXml/itemProps26.xml><?xml version="1.0" encoding="utf-8"?>
<ds:datastoreItem xmlns:ds="http://schemas.openxmlformats.org/officeDocument/2006/customXml" ds:itemID="{62707642-594D-4B6D-8000-A8765DF02305}">
  <ds:schemaRefs/>
</ds:datastoreItem>
</file>

<file path=customXml/itemProps27.xml><?xml version="1.0" encoding="utf-8"?>
<ds:datastoreItem xmlns:ds="http://schemas.openxmlformats.org/officeDocument/2006/customXml" ds:itemID="{EA2EACC1-0CDC-457E-A25E-6E2FBE34DCF3}">
  <ds:schemaRefs/>
</ds:datastoreItem>
</file>

<file path=customXml/itemProps28.xml><?xml version="1.0" encoding="utf-8"?>
<ds:datastoreItem xmlns:ds="http://schemas.openxmlformats.org/officeDocument/2006/customXml" ds:itemID="{A2EA2725-9816-42E0-8077-EECCDFE1A37A}">
  <ds:schemaRefs/>
</ds:datastoreItem>
</file>

<file path=customXml/itemProps29.xml><?xml version="1.0" encoding="utf-8"?>
<ds:datastoreItem xmlns:ds="http://schemas.openxmlformats.org/officeDocument/2006/customXml" ds:itemID="{8ED82521-FBF5-4D5A-9E48-C4096A47A77B}">
  <ds:schemaRefs/>
</ds:datastoreItem>
</file>

<file path=customXml/itemProps30.xml><?xml version="1.0" encoding="utf-8"?>
<ds:datastoreItem xmlns:ds="http://schemas.openxmlformats.org/officeDocument/2006/customXml" ds:itemID="{027C477F-46C2-4AD8-A39E-6FD9EB85B99A}">
  <ds:schemaRefs/>
</ds:datastoreItem>
</file>

<file path=customXml/itemProps31.xml><?xml version="1.0" encoding="utf-8"?>
<ds:datastoreItem xmlns:ds="http://schemas.openxmlformats.org/officeDocument/2006/customXml" ds:itemID="{BC47F5F6-11A4-4665-938F-740FD0B52025}">
  <ds:schemaRefs/>
</ds:datastoreItem>
</file>

<file path=customXml/itemProps32.xml><?xml version="1.0" encoding="utf-8"?>
<ds:datastoreItem xmlns:ds="http://schemas.openxmlformats.org/officeDocument/2006/customXml" ds:itemID="{1BE79B1D-B47D-4893-B0AD-02981322ABA7}">
  <ds:schemaRefs/>
</ds:datastoreItem>
</file>

<file path=customXml/itemProps33.xml><?xml version="1.0" encoding="utf-8"?>
<ds:datastoreItem xmlns:ds="http://schemas.openxmlformats.org/officeDocument/2006/customXml" ds:itemID="{4A5DECAC-BCF1-429D-8A11-7BDB9FABFC63}">
  <ds:schemaRefs/>
</ds:datastoreItem>
</file>

<file path=customXml/itemProps34.xml><?xml version="1.0" encoding="utf-8"?>
<ds:datastoreItem xmlns:ds="http://schemas.openxmlformats.org/officeDocument/2006/customXml" ds:itemID="{1B73A39E-488C-4A3B-AF22-D30B4A423036}">
  <ds:schemaRefs/>
</ds:datastoreItem>
</file>

<file path=customXml/itemProps35.xml><?xml version="1.0" encoding="utf-8"?>
<ds:datastoreItem xmlns:ds="http://schemas.openxmlformats.org/officeDocument/2006/customXml" ds:itemID="{BC63E4DA-526A-4D1F-AB2D-F005FB3B11B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Sales</vt:lpstr>
      <vt:lpstr>Customers</vt:lpstr>
      <vt:lpstr>Products</vt:lpstr>
      <vt:lpstr>Regions</vt:lpstr>
      <vt:lpstr>Total Revenue</vt:lpstr>
      <vt:lpstr>Total Profit</vt:lpstr>
      <vt:lpstr>Profit Margin</vt:lpstr>
      <vt:lpstr>Order Count</vt:lpstr>
      <vt:lpstr>Average Order Value</vt:lpstr>
      <vt:lpstr>Growth</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shamima rita</dc:creator>
  <cp:lastModifiedBy>shamima rita</cp:lastModifiedBy>
  <dcterms:created xsi:type="dcterms:W3CDTF">2025-04-08T07:00:45Z</dcterms:created>
  <dcterms:modified xsi:type="dcterms:W3CDTF">2026-09-19T21:23:13Z</dcterms:modified>
</cp:coreProperties>
</file>